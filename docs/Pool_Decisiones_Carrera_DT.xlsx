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ol_Decisiones" sheetId="1" state="visible" r:id="rId3"/>
    <sheet name="Leyenda_y_Bal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<sst xmlns="http://schemas.openxmlformats.org/spreadsheetml/2006/main" count="587" uniqueCount="510">
  <si>
    <t xml:space="preserve">POOL DE DECISIONES — Carrera de DT (MVP)</t>
  </si>
  <si>
    <t xml:space="preserve">60 situaciones curadas a mano. Los textos son un punto de partida: reescribilos con tu voz. Los valores de impacto son editables.</t>
  </si>
  <si>
    <t xml:space="preserve">ID</t>
  </si>
  <si>
    <t xml:space="preserve">Categoría</t>
  </si>
  <si>
    <t xml:space="preserve">Situación</t>
  </si>
  <si>
    <t xml:space="preserve">Opción</t>
  </si>
  <si>
    <t xml:space="preserve">Resultados</t>
  </si>
  <si>
    <t xml:space="preserve">Directiva</t>
  </si>
  <si>
    <t xml:space="preserve">Hinchada</t>
  </si>
  <si>
    <t xml:space="preserve">Plantel</t>
  </si>
  <si>
    <t xml:space="preserve">Nota de diseño</t>
  </si>
  <si>
    <t xml:space="preserve">VES-01</t>
  </si>
  <si>
    <t xml:space="preserve">Vestuario</t>
  </si>
  <si>
    <t xml:space="preserve">Tu mediocampista titular se peleó a los gritos con el preparador físico delante de todo el plantel.</t>
  </si>
  <si>
    <t xml:space="preserve">Lo mandás al banco por una fecha</t>
  </si>
  <si>
    <t xml:space="preserve">Autoridad sin romper nada. La opción segura.</t>
  </si>
  <si>
    <t xml:space="preserve">Lo sacás de la convocatoria</t>
  </si>
  <si>
    <t xml:space="preserve">Costo deportivo inmediato, pero el plantel entiende el mensaje.</t>
  </si>
  <si>
    <t xml:space="preserve">Echás al preparador físico</t>
  </si>
  <si>
    <t xml:space="preserve">Te ganás al jugador y perdés al cuerpo técnico. Puede volver como problema físico después.</t>
  </si>
  <si>
    <t xml:space="preserve">VES-02</t>
  </si>
  <si>
    <t xml:space="preserve">Tu 10, el más talentoso y el más indisciplinado, salió la noche anterior al partido. Te mira a los ojos y te dice que está para jugar.</t>
  </si>
  <si>
    <t xml:space="preserve">Lo ponés de titular</t>
  </si>
  <si>
    <t xml:space="preserve">Si sale bien sos un genio, si sale mal perdiste el vestuario. Alta varianza.</t>
  </si>
  <si>
    <t xml:space="preserve">Lo dejás en el banco y entra en el segundo tiempo</t>
  </si>
  <si>
    <t xml:space="preserve">El término medio: ni castigo ni premio.</t>
  </si>
  <si>
    <t xml:space="preserve">Ni lo convocás</t>
  </si>
  <si>
    <t xml:space="preserve">Perdés al mejor, ganás autoridad.</t>
  </si>
  <si>
    <t xml:space="preserve">VES-03</t>
  </si>
  <si>
    <t xml:space="preserve">El capitán histórico ya no rinde, pero es la voz del vestuario. El pibe que lo reemplazaría está mejor que él.</t>
  </si>
  <si>
    <t xml:space="preserve">Le sacás la titularidad al capitán</t>
  </si>
  <si>
    <t xml:space="preserve">Decisión deportiva correcta, costo político interno.</t>
  </si>
  <si>
    <t xml:space="preserve">Lo sostenés hasta fin de temporada</t>
  </si>
  <si>
    <t xml:space="preserve">Lealtad. El vestuario lo registra.</t>
  </si>
  <si>
    <t xml:space="preserve">Hablás con él y le pedís que ceda el lugar él mismo</t>
  </si>
  <si>
    <t xml:space="preserve">La jugada fina: si sale bien, es lo mejor de los tres mundos.</t>
  </si>
  <si>
    <t xml:space="preserve">VES-04</t>
  </si>
  <si>
    <t xml:space="preserve">Se filtró que hay dos grupos separados en el vestuario y no se hablan entre ellos.</t>
  </si>
  <si>
    <t xml:space="preserve">Charla grupal y lo ponés sobre la mesa</t>
  </si>
  <si>
    <t xml:space="preserve">Directo. Funciona si tenés autoridad ganada.</t>
  </si>
  <si>
    <t xml:space="preserve">Vendés al referente de uno de los grupos</t>
  </si>
  <si>
    <t xml:space="preserve">Cirugía. Duele pero corta el problema.</t>
  </si>
  <si>
    <t xml:space="preserve">Lo ignorás, que se arregle en la cancha</t>
  </si>
  <si>
    <t xml:space="preserve">A veces funciona. Casi nunca.</t>
  </si>
  <si>
    <t xml:space="preserve">VES-05</t>
  </si>
  <si>
    <t xml:space="preserve">Tu arquero titular pide hablar: dice que el defensor central lo expone y que no quiere jugar más con él.</t>
  </si>
  <si>
    <t xml:space="preserve">Cambiás al central</t>
  </si>
  <si>
    <t xml:space="preserve">Le das la razón al arquero. El central se resiente.</t>
  </si>
  <si>
    <t xml:space="preserve">Le decís que se arregle</t>
  </si>
  <si>
    <t xml:space="preserve">Ninguno queda contento.</t>
  </si>
  <si>
    <t xml:space="preserve">Los ponés a trabajar juntos en sesiones específicas</t>
  </si>
  <si>
    <t xml:space="preserve">Solución de entrenador. Lenta pero real.</t>
  </si>
  <si>
    <t xml:space="preserve">VES-06</t>
  </si>
  <si>
    <t xml:space="preserve">El juvenil que subiste de la cantera debutó bien y ya se cree figura. Llega tarde a los entrenamientos.</t>
  </si>
  <si>
    <t xml:space="preserve">Lo bajás a reserva una semana</t>
  </si>
  <si>
    <t xml:space="preserve">Corte temprano. Preventivo.</t>
  </si>
  <si>
    <t xml:space="preserve">Lo hablás en privado</t>
  </si>
  <si>
    <t xml:space="preserve">Menos ruido, menos efecto.</t>
  </si>
  <si>
    <t xml:space="preserve">Lo dejás correr, está rindiendo</t>
  </si>
  <si>
    <t xml:space="preserve">Hoy suma, mañana es un problema mayor.</t>
  </si>
  <si>
    <t xml:space="preserve">VES-07</t>
  </si>
  <si>
    <t xml:space="preserve">Un titular te pide permiso para faltar a la concentración por un tema familiar serio.</t>
  </si>
  <si>
    <t xml:space="preserve">Se lo das sin condiciones</t>
  </si>
  <si>
    <t xml:space="preserve">Lo humano por encima del reglamento.</t>
  </si>
  <si>
    <t xml:space="preserve">Se lo das pero pierde la titularidad esa fecha</t>
  </si>
  <si>
    <t xml:space="preserve">Ambiguo: ni gesto ni firmeza.</t>
  </si>
  <si>
    <t xml:space="preserve">Se lo negás, la concentración es sagrada</t>
  </si>
  <si>
    <t xml:space="preserve">Rigidez. El plantel toma nota.</t>
  </si>
  <si>
    <t xml:space="preserve">VES-08</t>
  </si>
  <si>
    <t xml:space="preserve">Dos jugadores se agarraron a piñas en el entrenamiento. Los vio todo el club.</t>
  </si>
  <si>
    <t xml:space="preserve">Multa a los dos y siguen jugando</t>
  </si>
  <si>
    <t xml:space="preserve">Salomónico. Nadie contento, nadie roto.</t>
  </si>
  <si>
    <t xml:space="preserve">Ambos afuera del próximo partido</t>
  </si>
  <si>
    <t xml:space="preserve">Firmeza pareja.</t>
  </si>
  <si>
    <t xml:space="preserve">Investigás quién empezó y castigás solo a ese</t>
  </si>
  <si>
    <t xml:space="preserve">Justicia real, pero te lleva tiempo y genera versiones.</t>
  </si>
  <si>
    <t xml:space="preserve">VES-09</t>
  </si>
  <si>
    <t xml:space="preserve">Tu goleador dejó de festejar los goles y se lo ve apagado. Nadie sabe por qué.</t>
  </si>
  <si>
    <t xml:space="preserve">Te sentás a hablar con él a solas</t>
  </si>
  <si>
    <t xml:space="preserve">Lo que haría un entrenador de verdad.</t>
  </si>
  <si>
    <t xml:space="preserve">Le das descanso dos fechas</t>
  </si>
  <si>
    <t xml:space="preserve">Le sacás presión, perdés goles.</t>
  </si>
  <si>
    <t xml:space="preserve">Lo dejás así mientras siga convirtiendo</t>
  </si>
  <si>
    <t xml:space="preserve">Funciona hasta que deja de funcionar.</t>
  </si>
  <si>
    <t xml:space="preserve">VES-10</t>
  </si>
  <si>
    <t xml:space="preserve">El plantel te pide colectivamente que les des el fin de semana libre después de una racha de partidos.</t>
  </si>
  <si>
    <t xml:space="preserve">Se los das</t>
  </si>
  <si>
    <t xml:space="preserve">Crédito emocional.</t>
  </si>
  <si>
    <t xml:space="preserve">Se los negás, viene un partido clave</t>
  </si>
  <si>
    <t xml:space="preserve">Profesionalismo frío.</t>
  </si>
  <si>
    <t xml:space="preserve">Se los das pero con doble turno a la vuelta</t>
  </si>
  <si>
    <t xml:space="preserve">Negociación. Lo más parecido a la realidad.</t>
  </si>
  <si>
    <t xml:space="preserve">VES-11</t>
  </si>
  <si>
    <t xml:space="preserve">Un suplente histórico, buen tipo, pide irse porque no juega nunca.</t>
  </si>
  <si>
    <t xml:space="preserve">Lo dejás ir</t>
  </si>
  <si>
    <t xml:space="preserve">Perdés un tipo de vestuario.</t>
  </si>
  <si>
    <t xml:space="preserve">Le prometés minutos y se los cumplís</t>
  </si>
  <si>
    <t xml:space="preserve">Cumplir la palabra vale más que los minutos.</t>
  </si>
  <si>
    <t xml:space="preserve">Le prometés minutos y no se los das</t>
  </si>
  <si>
    <t xml:space="preserve">El peor movimiento posible en un vestuario.</t>
  </si>
  <si>
    <t xml:space="preserve">VES-12</t>
  </si>
  <si>
    <t xml:space="preserve">Tu segundo entrenador te dice, en privado, que no está de acuerdo con el sistema que estás usando.</t>
  </si>
  <si>
    <t xml:space="preserve">Le pedís que lo desarrolle y escuchás</t>
  </si>
  <si>
    <t xml:space="preserve">Un cuerpo técnico que discute es un cuerpo técnico vivo.</t>
  </si>
  <si>
    <t xml:space="preserve">Le decís que acá se hace lo que vos decís</t>
  </si>
  <si>
    <t xml:space="preserve">Cortás la discusión y también el aporte.</t>
  </si>
  <si>
    <t xml:space="preserve">Le das una fecha para probar su idea</t>
  </si>
  <si>
    <t xml:space="preserve">Riesgo controlado, enorme señal de confianza.</t>
  </si>
  <si>
    <t xml:space="preserve">VES-13</t>
  </si>
  <si>
    <t xml:space="preserve">Un jugador clave llegó al club con fama de conflictivo y hasta ahora se portó impecable. Otro club te ofrece plata por él.</t>
  </si>
  <si>
    <t xml:space="preserve">Lo vendés antes de que estalle</t>
  </si>
  <si>
    <t xml:space="preserve">Vendés humo con ganancia.</t>
  </si>
  <si>
    <t xml:space="preserve">Lo bancás, te está rindiendo</t>
  </si>
  <si>
    <t xml:space="preserve">Confianza. Si estalla después, es tu responsabilidad.</t>
  </si>
  <si>
    <t xml:space="preserve">Lo bancás pero le ponés cláusulas de conducta</t>
  </si>
  <si>
    <t xml:space="preserve">Realista y prolijo.</t>
  </si>
  <si>
    <t xml:space="preserve">VES-14</t>
  </si>
  <si>
    <t xml:space="preserve">Se lesionó tu figura y el vestuario está caído. Faltan tres fechas decisivas.</t>
  </si>
  <si>
    <t xml:space="preserve">Reunís al plantel y rearmás el liderazgo</t>
  </si>
  <si>
    <t xml:space="preserve">Gestión de crisis.</t>
  </si>
  <si>
    <t xml:space="preserve">Cambiás el sistema para no depender de él</t>
  </si>
  <si>
    <t xml:space="preserve">Solución táctica al problema emocional.</t>
  </si>
  <si>
    <t xml:space="preserve">Traés un refuerzo de emergencia</t>
  </si>
  <si>
    <t xml:space="preserve">Gastás plata y le mandás al plantel el mensaje de que no confiás en ellos.</t>
  </si>
  <si>
    <t xml:space="preserve">TÁC-15</t>
  </si>
  <si>
    <t xml:space="preserve">Táctica</t>
  </si>
  <si>
    <t xml:space="preserve">Vas perdiendo 1-0 de local a los 60 minutos contra un rival que se metió atrás con línea de cinco.</t>
  </si>
  <si>
    <t xml:space="preserve">Metés un delantero más y jugás con tres puntas</t>
  </si>
  <si>
    <t xml:space="preserve">Ataque frontal. Te expone a la contra.</t>
  </si>
  <si>
    <t xml:space="preserve">Cambiás a un volante creativo por uno de marca</t>
  </si>
  <si>
    <t xml:space="preserve">Buscás el pase entre líneas. Lo correcto contra bloque bajo.</t>
  </si>
  <si>
    <t xml:space="preserve">Dejás todo igual, confiás en el plan</t>
  </si>
  <si>
    <t xml:space="preserve">El plantel valora que no te desesperes. La hinchada no.</t>
  </si>
  <si>
    <t xml:space="preserve">TÁC-16</t>
  </si>
  <si>
    <t xml:space="preserve">El rival del domingo juega 4-4-2 plano y presiona alto. Tenés volantes técnicos pero lentos.</t>
  </si>
  <si>
    <t xml:space="preserve">Jugás 4-3-3 para ganar el mediocampo por número</t>
  </si>
  <si>
    <t xml:space="preserve">Superioridad numérica en el medio: manual.</t>
  </si>
  <si>
    <t xml:space="preserve">Jugás directo, salteás el mediocampo</t>
  </si>
  <si>
    <t xml:space="preserve">Le sacás la presión de encima a tus volantes lentos.</t>
  </si>
  <si>
    <t xml:space="preserve">Mantenés tu 4-4-2 y salís jugando igual</t>
  </si>
  <si>
    <t xml:space="preserve">Coherencia de proyecto a costa del resultado.</t>
  </si>
  <si>
    <t xml:space="preserve">TÁC-17</t>
  </si>
  <si>
    <t xml:space="preserve">Tu equipo no puede salir jugando: los centrales pierden la pelota en zona propia todas las fechas.</t>
  </si>
  <si>
    <t xml:space="preserve">Bajás un volante entre los centrales</t>
  </si>
  <si>
    <t xml:space="preserve">Salida en tres. Solución estructural.</t>
  </si>
  <si>
    <t xml:space="preserve">Les pedís que jueguen largo directo</t>
  </si>
  <si>
    <t xml:space="preserve">Resuelve hoy, no forma nada.</t>
  </si>
  <si>
    <t xml:space="preserve">Trabajás la salida toda la semana aunque pierdas puntos</t>
  </si>
  <si>
    <t xml:space="preserve">Inversión a mediano plazo.</t>
  </si>
  <si>
    <t xml:space="preserve">TÁC-18</t>
  </si>
  <si>
    <t xml:space="preserve">Ganás 2-0 a los 70 minutos. La hinchada pide más, la lógica pide cerrarlo.</t>
  </si>
  <si>
    <t xml:space="preserve">Metés línea de cinco y cerrás</t>
  </si>
  <si>
    <t xml:space="preserve">Pragmatismo.</t>
  </si>
  <si>
    <t xml:space="preserve">Seguís atacando</t>
  </si>
  <si>
    <t xml:space="preserve">La tribuna te ama. La directiva sufre.</t>
  </si>
  <si>
    <t xml:space="preserve">Metés un pibe de la cantera para que sume minutos</t>
  </si>
  <si>
    <t xml:space="preserve">Aprovechás el resultado para formar.</t>
  </si>
  <si>
    <t xml:space="preserve">TÁC-19</t>
  </si>
  <si>
    <t xml:space="preserve">Tenés una defensa top y un ataque flojo. La directiva quiere que juegues 'lindo'.</t>
  </si>
  <si>
    <t xml:space="preserve">Jugás a lo que te da el plantel: bloque y contra</t>
  </si>
  <si>
    <t xml:space="preserve">Leer lo que tenés. Lo que haría un buen entrenador.</t>
  </si>
  <si>
    <t xml:space="preserve">Jugás como pide la directiva</t>
  </si>
  <si>
    <t xml:space="preserve">Política interna por encima de lo deportivo.</t>
  </si>
  <si>
    <t xml:space="preserve">Buscás un híbrido</t>
  </si>
  <si>
    <t xml:space="preserve">Ni chicha ni limonada, pero nadie se enoja.</t>
  </si>
  <si>
    <t xml:space="preserve">TÁC-20</t>
  </si>
  <si>
    <t xml:space="preserve">Tu lateral derecho es tu mejor jugador ofensivo pero te dejan solo al central por ese lado.</t>
  </si>
  <si>
    <t xml:space="preserve">Lo soltás y bancás el riesgo con un volante que cubra</t>
  </si>
  <si>
    <t xml:space="preserve">Compensación estructural.</t>
  </si>
  <si>
    <t xml:space="preserve">Le pedís que se quede</t>
  </si>
  <si>
    <t xml:space="preserve">Anulás tu mejor arma.</t>
  </si>
  <si>
    <t xml:space="preserve">Cambiás a línea de tres para liberarlo del todo</t>
  </si>
  <si>
    <t xml:space="preserve">Rediseñás el sistema alrededor de tu fortaleza.</t>
  </si>
  <si>
    <t xml:space="preserve">TÁC-21</t>
  </si>
  <si>
    <t xml:space="preserve">Clásico. El rival te dobla en presupuesto y en plantel.</t>
  </si>
  <si>
    <t xml:space="preserve">Bloque bajo, cinco atrás y a la contra</t>
  </si>
  <si>
    <t xml:space="preserve">Realismo puro.</t>
  </si>
  <si>
    <t xml:space="preserve">Salís a presionarlo alto desde el minuto uno</t>
  </si>
  <si>
    <t xml:space="preserve">Alto riesgo, la tribuna estalla.</t>
  </si>
  <si>
    <t xml:space="preserve">Jugás tu sistema de siempre</t>
  </si>
  <si>
    <t xml:space="preserve">Identidad por encima del rival.</t>
  </si>
  <si>
    <t xml:space="preserve">TÁC-22</t>
  </si>
  <si>
    <t xml:space="preserve">Perdiste tres partidos seguidos con el mismo sistema. Los números dicen que generás situaciones pero no convertís.</t>
  </si>
  <si>
    <t xml:space="preserve">Mantenés el sistema, el problema es de definición</t>
  </si>
  <si>
    <t xml:space="preserve">Leer los datos y no el ruido.</t>
  </si>
  <si>
    <t xml:space="preserve">Cambiás todo el sistema</t>
  </si>
  <si>
    <t xml:space="preserve">Reacción emocional. La tribuna aplaude.</t>
  </si>
  <si>
    <t xml:space="preserve">Mantenés el sistema pero cambiás el delantero</t>
  </si>
  <si>
    <t xml:space="preserve">Ajuste quirúrgico.</t>
  </si>
  <si>
    <t xml:space="preserve">TÁC-23</t>
  </si>
  <si>
    <t xml:space="preserve">Se lesionó tu único enganche y no tenés reemplazo natural en el plantel.</t>
  </si>
  <si>
    <t xml:space="preserve">Adelantás a un volante central</t>
  </si>
  <si>
    <t xml:space="preserve">Solución interna, forma jugadores.</t>
  </si>
  <si>
    <t xml:space="preserve">Cambiás a un sistema sin enganche</t>
  </si>
  <si>
    <t xml:space="preserve">Rediseño honesto.</t>
  </si>
  <si>
    <t xml:space="preserve">Improvisás a un extremo por dentro</t>
  </si>
  <si>
    <t xml:space="preserve">Puede salir muy bien o muy mal.</t>
  </si>
  <si>
    <t xml:space="preserve">TÁC-24</t>
  </si>
  <si>
    <t xml:space="preserve">El rival tiene un solo jugador determinante y todo su juego pasa por él.</t>
  </si>
  <si>
    <t xml:space="preserve">Marca personal encima todo el partido</t>
  </si>
  <si>
    <t xml:space="preserve">Clásico y efectivo. Sacrificás un hombre.</t>
  </si>
  <si>
    <t xml:space="preserve">Le cerrás las líneas de pase en zona</t>
  </si>
  <si>
    <t xml:space="preserve">Solución colectiva. Más difícil de ejecutar.</t>
  </si>
  <si>
    <t xml:space="preserve">No hacés nada especial</t>
  </si>
  <si>
    <t xml:space="preserve">Confiar de más.</t>
  </si>
  <si>
    <t xml:space="preserve">TÁC-25</t>
  </si>
  <si>
    <t xml:space="preserve">Tenés que jugar dos partidos clave en cuatro días con un plantel corto.</t>
  </si>
  <si>
    <t xml:space="preserve">Repetís los once en los dos partidos</t>
  </si>
  <si>
    <t xml:space="preserve">Ganás hoy, te quedás sin piernas en dos fechas.</t>
  </si>
  <si>
    <t xml:space="preserve">Rotás medio equipo</t>
  </si>
  <si>
    <t xml:space="preserve">Gestión de carga real.</t>
  </si>
  <si>
    <t xml:space="preserve">Rotás solo a los mayores de 30</t>
  </si>
  <si>
    <t xml:space="preserve">Criterio.</t>
  </si>
  <si>
    <t xml:space="preserve">TÁC-26</t>
  </si>
  <si>
    <t xml:space="preserve">Un juvenil de 17 años está mejor que el titular en los entrenamientos, pero nunca jugó en primera.</t>
  </si>
  <si>
    <t xml:space="preserve">Lo hacés debutar de titular</t>
  </si>
  <si>
    <t xml:space="preserve">Coraje. Alta varianza.</t>
  </si>
  <si>
    <t xml:space="preserve">Le das 15 minutos con el partido resuelto</t>
  </si>
  <si>
    <t xml:space="preserve">Debut administrado. Lo prudente.</t>
  </si>
  <si>
    <t xml:space="preserve">Esperás a la próxima temporada</t>
  </si>
  <si>
    <t xml:space="preserve">Prudencia excesiva: el pibe se desmotiva.</t>
  </si>
  <si>
    <t xml:space="preserve">DIR-27</t>
  </si>
  <si>
    <t xml:space="preserve">El presidente te pide que hagas jugar al hijo de un dirigente.</t>
  </si>
  <si>
    <t xml:space="preserve">Lo hacés jugar</t>
  </si>
  <si>
    <t xml:space="preserve">El vestuario nunca te lo perdona.</t>
  </si>
  <si>
    <t xml:space="preserve">Te negás de frente</t>
  </si>
  <si>
    <t xml:space="preserve">Integridad con costo político.</t>
  </si>
  <si>
    <t xml:space="preserve">Le decís que lo vas a evaluar y lo dejás en la nada</t>
  </si>
  <si>
    <t xml:space="preserve">Política pura: no resolvés nada pero ganás tiempo.</t>
  </si>
  <si>
    <t xml:space="preserve">DIR-28</t>
  </si>
  <si>
    <t xml:space="preserve">La directiva te ofrece renovar por dos años más pero con menos presupuesto de fichajes.</t>
  </si>
  <si>
    <t xml:space="preserve">Firmás</t>
  </si>
  <si>
    <t xml:space="preserve">Estabilidad a cambio de recursos.</t>
  </si>
  <si>
    <t xml:space="preserve">Pedís más presupuesto o no firmás</t>
  </si>
  <si>
    <t xml:space="preserve">Jugada de poder. Si no tenés resultados, es suicida.</t>
  </si>
  <si>
    <t xml:space="preserve">Firmás por un año solo</t>
  </si>
  <si>
    <t xml:space="preserve">Te dejás la puerta abierta.</t>
  </si>
  <si>
    <t xml:space="preserve">DIR-29</t>
  </si>
  <si>
    <t xml:space="preserve">Te informan que vendieron a tu mejor jugador sin consultarte. La plata la usan para pagar deudas del club.</t>
  </si>
  <si>
    <t xml:space="preserve">Aceptás públicamente y seguís</t>
  </si>
  <si>
    <t xml:space="preserve">Soldado. La directiva te lo va a devolver.</t>
  </si>
  <si>
    <t xml:space="preserve">Exigís que te den un reemplazo o renunciás</t>
  </si>
  <si>
    <t xml:space="preserve">La hinchada te banca. La directiva te marca.</t>
  </si>
  <si>
    <t xml:space="preserve">Lo aceptás pero pedís mano libre en la cantera</t>
  </si>
  <si>
    <t xml:space="preserve">La negociación inteligente.</t>
  </si>
  <si>
    <t xml:space="preserve">DIR-30</t>
  </si>
  <si>
    <t xml:space="preserve">El club quiere hacer una gira de pretemporada por Asia por motivos comerciales. Vos querés esa semana para trabajar.</t>
  </si>
  <si>
    <t xml:space="preserve">Aceptás la gira</t>
  </si>
  <si>
    <t xml:space="preserve">Plata para el club, desgaste para el equipo.</t>
  </si>
  <si>
    <t xml:space="preserve">Te negás</t>
  </si>
  <si>
    <t xml:space="preserve">Priorizás lo deportivo.</t>
  </si>
  <si>
    <t xml:space="preserve">Aceptás pero llevás solo a la mitad del plantel</t>
  </si>
  <si>
    <t xml:space="preserve">Solución de gestión real.</t>
  </si>
  <si>
    <t xml:space="preserve">DIR-31</t>
  </si>
  <si>
    <t xml:space="preserve">Te dan un objetivo de temporada que considerás inalcanzable con el plantel que tenés.</t>
  </si>
  <si>
    <t xml:space="preserve">Lo aceptás en silencio</t>
  </si>
  <si>
    <t xml:space="preserve">Cargás con la mochila.</t>
  </si>
  <si>
    <t xml:space="preserve">Lo discutís y pedís que lo bajen</t>
  </si>
  <si>
    <t xml:space="preserve">Honestidad que te deja expuesto.</t>
  </si>
  <si>
    <t xml:space="preserve">Lo aceptás públicamente pero negociás por dentro</t>
  </si>
  <si>
    <t xml:space="preserve">Lo que hacen la mayoría.</t>
  </si>
  <si>
    <t xml:space="preserve">DIR-32</t>
  </si>
  <si>
    <t xml:space="preserve">El club está en crisis económica y te piden que bajes vos mismo tu sueldo para dar el ejemplo.</t>
  </si>
  <si>
    <t xml:space="preserve">Lo bajás</t>
  </si>
  <si>
    <t xml:space="preserve">Gesto que se recuerda.</t>
  </si>
  <si>
    <t xml:space="preserve">Legítimo, pero mal visto en un club en crisis.</t>
  </si>
  <si>
    <t xml:space="preserve">Lo bajás a cambio de una cláusula de bonus por objetivos</t>
  </si>
  <si>
    <t xml:space="preserve">Negociación profesional.</t>
  </si>
  <si>
    <t xml:space="preserve">DIR-33</t>
  </si>
  <si>
    <t xml:space="preserve">Un dirigente empieza a hablar con otro entrenador a tus espaldas. Te enterás por un tercero.</t>
  </si>
  <si>
    <t xml:space="preserve">Lo enfrentás en la próxima reunión</t>
  </si>
  <si>
    <t xml:space="preserve">Ponés las cartas sobre la mesa.</t>
  </si>
  <si>
    <t xml:space="preserve">Hacés como que no sabés y redoblás el trabajo</t>
  </si>
  <si>
    <t xml:space="preserve">Respondés en la cancha.</t>
  </si>
  <si>
    <t xml:space="preserve">Lo hacés público</t>
  </si>
  <si>
    <t xml:space="preserve">Guerra abierta. Alta varianza.</t>
  </si>
  <si>
    <t xml:space="preserve">DIR-34</t>
  </si>
  <si>
    <t xml:space="preserve">Te ofrecen dirigir un club más grande a mitad de temporada. Acá tenés un proyecto empezado.</t>
  </si>
  <si>
    <t xml:space="preserve">Te vas</t>
  </si>
  <si>
    <t xml:space="preserve">Ambición pura. Te sigue en el historial.</t>
  </si>
  <si>
    <t xml:space="preserve">Te quedás</t>
  </si>
  <si>
    <t xml:space="preserve">Lealtad. Puede que la oferta no vuelva.</t>
  </si>
  <si>
    <t xml:space="preserve">Te quedás hasta fin de temporada y después te vas</t>
  </si>
  <si>
    <t xml:space="preserve">Lo profesional. Nadie te odia, nadie te ama.</t>
  </si>
  <si>
    <t xml:space="preserve">DIR-35</t>
  </si>
  <si>
    <t xml:space="preserve">La directiva quiere firmar un patrocinador polémico. Te preguntan si te molesta.</t>
  </si>
  <si>
    <t xml:space="preserve">Decís que no te molesta</t>
  </si>
  <si>
    <t xml:space="preserve">Plata para el club, ruido con la hinchada.</t>
  </si>
  <si>
    <t xml:space="preserve">Te oponés públicamente</t>
  </si>
  <si>
    <t xml:space="preserve">Te ponés del lado de la tribuna.</t>
  </si>
  <si>
    <t xml:space="preserve">Decís que no opinás de temas comerciales</t>
  </si>
  <si>
    <t xml:space="preserve">Te corrés del quilombo.</t>
  </si>
  <si>
    <t xml:space="preserve">DIR-36</t>
  </si>
  <si>
    <t xml:space="preserve">Te piden que uses jugadores de la cantera para bajar el gasto salarial, aunque no estén listos.</t>
  </si>
  <si>
    <t xml:space="preserve">Los usás</t>
  </si>
  <si>
    <t xml:space="preserve">Sacrificás resultado por proyecto.</t>
  </si>
  <si>
    <t xml:space="preserve">Te negás y pedís refuerzos</t>
  </si>
  <si>
    <t xml:space="preserve">Priorizás el corto plazo.</t>
  </si>
  <si>
    <t xml:space="preserve">Usás a dos, no a seis</t>
  </si>
  <si>
    <t xml:space="preserve">El equilibrio razonable.</t>
  </si>
  <si>
    <t xml:space="preserve">DIR-37</t>
  </si>
  <si>
    <t xml:space="preserve">La directiva quiere despedir a tu ayudante de campo por una cuestión de costos.</t>
  </si>
  <si>
    <t xml:space="preserve">Lo defendés y amenazás con irte</t>
  </si>
  <si>
    <t xml:space="preserve">El cuerpo técnico te sigue a muerte después de esto.</t>
  </si>
  <si>
    <t xml:space="preserve">Lo aceptás</t>
  </si>
  <si>
    <t xml:space="preserve">El resto del cuerpo técnico toma nota.</t>
  </si>
  <si>
    <t xml:space="preserve">Le conseguís otro rol dentro del club</t>
  </si>
  <si>
    <t xml:space="preserve">Salida creativa.</t>
  </si>
  <si>
    <t xml:space="preserve">DIR-38</t>
  </si>
  <si>
    <t xml:space="preserve">Después de tres derrotas seguidas, el presidente te llama y te pregunta si querés seguir.</t>
  </si>
  <si>
    <t xml:space="preserve">Le decís que sí y le pedís respaldo público</t>
  </si>
  <si>
    <t xml:space="preserve">Jugada correcta si tenés espalda.</t>
  </si>
  <si>
    <t xml:space="preserve">Ponés tu cargo a disposición</t>
  </si>
  <si>
    <t xml:space="preserve">Puede leerse como debilidad.</t>
  </si>
  <si>
    <t xml:space="preserve">Le pedís tres fechas más para revertirlo</t>
  </si>
  <si>
    <t xml:space="preserve">Te comprás tiempo y presión.</t>
  </si>
  <si>
    <t xml:space="preserve">PRE-39</t>
  </si>
  <si>
    <t xml:space="preserve">Prensa</t>
  </si>
  <si>
    <t xml:space="preserve">Un periodista te pregunta en conferencia si vas a seguir bancando a tu delantero que lleva 8 partidos sin gol.</t>
  </si>
  <si>
    <t xml:space="preserve">Lo bancás públicamente</t>
  </si>
  <si>
    <t xml:space="preserve">El jugador te lo devuelve. La tribuna no.</t>
  </si>
  <si>
    <t xml:space="preserve">Decís que va a competir como todos</t>
  </si>
  <si>
    <t xml:space="preserve">Le sacás el respaldo en público.</t>
  </si>
  <si>
    <t xml:space="preserve">Le contestás mal al periodista</t>
  </si>
  <si>
    <t xml:space="preserve">Te ganás al vestuario y a un enemigo.</t>
  </si>
  <si>
    <t xml:space="preserve">PRE-40</t>
  </si>
  <si>
    <t xml:space="preserve">Se filtró tu plan de partido a un medio antes del clásico.</t>
  </si>
  <si>
    <t xml:space="preserve">Cambiás todo el plan</t>
  </si>
  <si>
    <t xml:space="preserve">Improvisás por miedo.</t>
  </si>
  <si>
    <t xml:space="preserve">Mantenés el plan</t>
  </si>
  <si>
    <t xml:space="preserve">Confianza en tu idea.</t>
  </si>
  <si>
    <t xml:space="preserve">Buscás al que filtró dentro del club</t>
  </si>
  <si>
    <t xml:space="preserve">Cacería de brujas: el vestuario se tensa.</t>
  </si>
  <si>
    <t xml:space="preserve">PRE-41</t>
  </si>
  <si>
    <t xml:space="preserve">Un ex jugador del club te critica duro en TV: dice que no tenés idea.</t>
  </si>
  <si>
    <t xml:space="preserve">Le respondés en conferencia</t>
  </si>
  <si>
    <t xml:space="preserve">Show. A la tribuna le gusta.</t>
  </si>
  <si>
    <t xml:space="preserve">No le contestás</t>
  </si>
  <si>
    <t xml:space="preserve">Elegancia que se lee como debilidad.</t>
  </si>
  <si>
    <t xml:space="preserve">Le contestás con datos y sin agresión</t>
  </si>
  <si>
    <t xml:space="preserve">La respuesta de un profesional.</t>
  </si>
  <si>
    <t xml:space="preserve">PRE-42</t>
  </si>
  <si>
    <t xml:space="preserve">Te preguntan por qué no juega el ídolo de la hinchada, que está lesionado pero la gente no lo sabe.</t>
  </si>
  <si>
    <t xml:space="preserve">Decís la verdad: está lesionado</t>
  </si>
  <si>
    <t xml:space="preserve">El jugador quería que no se supiera.</t>
  </si>
  <si>
    <t xml:space="preserve">Decís que es decisión técnica</t>
  </si>
  <si>
    <t xml:space="preserve">Te comés el costo por proteger al jugador.</t>
  </si>
  <si>
    <t xml:space="preserve">Evitás la respuesta</t>
  </si>
  <si>
    <t xml:space="preserve">La prensa insiste al día siguiente.</t>
  </si>
  <si>
    <t xml:space="preserve">PRE-43</t>
  </si>
  <si>
    <t xml:space="preserve">Un medio publica una versión falsa de una pelea tuya con un jugador.</t>
  </si>
  <si>
    <t xml:space="preserve">Salís a desmentir con el jugador al lado</t>
  </si>
  <si>
    <t xml:space="preserve">Frente común. Lo más efectivo.</t>
  </si>
  <si>
    <t xml:space="preserve">Lo ignorás</t>
  </si>
  <si>
    <t xml:space="preserve">La versión crece sola.</t>
  </si>
  <si>
    <t xml:space="preserve">Iniciás acciones legales</t>
  </si>
  <si>
    <t xml:space="preserve">Escalás el conflicto.</t>
  </si>
  <si>
    <t xml:space="preserve">PRE-44</t>
  </si>
  <si>
    <t xml:space="preserve">Ganaste cinco seguidos y la prensa empieza a instalarte como candidato a la selección.</t>
  </si>
  <si>
    <t xml:space="preserve">Le bajás el tono públicamente</t>
  </si>
  <si>
    <t xml:space="preserve">Foco en el club.</t>
  </si>
  <si>
    <t xml:space="preserve">Decís que sería un honor</t>
  </si>
  <si>
    <t xml:space="preserve">El vestuario y la directiva escuchan que ya estás pensando en irte.</t>
  </si>
  <si>
    <t xml:space="preserve">No respondés y seguís</t>
  </si>
  <si>
    <t xml:space="preserve">Neutral.</t>
  </si>
  <si>
    <t xml:space="preserve">PRE-45</t>
  </si>
  <si>
    <t xml:space="preserve">Te preguntan por el arbitraje después de una derrota clara donde el árbitro no influyó.</t>
  </si>
  <si>
    <t xml:space="preserve">Culpás al árbitro</t>
  </si>
  <si>
    <t xml:space="preserve">Le sacás presión al plantel. Te desgastás.</t>
  </si>
  <si>
    <t xml:space="preserve">Decís que perdieron por mérito propio</t>
  </si>
  <si>
    <t xml:space="preserve">Honestidad que la tribuna no quiere escuchar.</t>
  </si>
  <si>
    <t xml:space="preserve">Decís que hay cosas para revisar pero no fue determinante</t>
  </si>
  <si>
    <t xml:space="preserve">La respuesta política.</t>
  </si>
  <si>
    <t xml:space="preserve">PRE-46</t>
  </si>
  <si>
    <t xml:space="preserve">Tu figura dio una nota diciendo que el equipo juega mal y que él quiere irse.</t>
  </si>
  <si>
    <t xml:space="preserve">Lo desautorizás en público</t>
  </si>
  <si>
    <t xml:space="preserve">Autoridad a costa del vestuario.</t>
  </si>
  <si>
    <t xml:space="preserve">Decís que lo vas a hablar en privado</t>
  </si>
  <si>
    <t xml:space="preserve">Lo profesional.</t>
  </si>
  <si>
    <t xml:space="preserve">Le das la razón parcialmente</t>
  </si>
  <si>
    <t xml:space="preserve">Honestidad que te expone.</t>
  </si>
  <si>
    <t xml:space="preserve">PRE-47</t>
  </si>
  <si>
    <t xml:space="preserve">Un periodista te ofrece información sobre el plan de partido del rival.</t>
  </si>
  <si>
    <t xml:space="preserve">La aceptás</t>
  </si>
  <si>
    <t xml:space="preserve">Ventaja deportiva con un costo ético que puede volver.</t>
  </si>
  <si>
    <t xml:space="preserve">La rechazás</t>
  </si>
  <si>
    <t xml:space="preserve">Integridad.</t>
  </si>
  <si>
    <t xml:space="preserve">La rechazás y lo hacés público</t>
  </si>
  <si>
    <t xml:space="preserve">Te ganás la tribuna. Y un enemigo.</t>
  </si>
  <si>
    <t xml:space="preserve">PRE-48</t>
  </si>
  <si>
    <t xml:space="preserve">La hinchada organizada te pide una reunión para 'plantearte cosas'.</t>
  </si>
  <si>
    <t xml:space="preserve">Los recibís</t>
  </si>
  <si>
    <t xml:space="preserve">Riesgoso pero te bancan.</t>
  </si>
  <si>
    <t xml:space="preserve">Lo institucionalmente correcto.</t>
  </si>
  <si>
    <t xml:space="preserve">Los derivás a la dirigencia</t>
  </si>
  <si>
    <t xml:space="preserve">Te corrés del problema.</t>
  </si>
  <si>
    <t xml:space="preserve">PRE-49</t>
  </si>
  <si>
    <t xml:space="preserve">Te preguntan en conferencia si el plantel te alcanza para pelear el campeonato.</t>
  </si>
  <si>
    <t xml:space="preserve">Decís que sí, con este plantel alcanza</t>
  </si>
  <si>
    <t xml:space="preserve">El vestuario lo escucha y se agranda.</t>
  </si>
  <si>
    <t xml:space="preserve">Decís que faltan refuerzos</t>
  </si>
  <si>
    <t xml:space="preserve">Le decís a tus jugadores que no confiás en ellos.</t>
  </si>
  <si>
    <t xml:space="preserve">Decís que van a competir hasta el final</t>
  </si>
  <si>
    <t xml:space="preserve">La respuesta de manual.</t>
  </si>
  <si>
    <t xml:space="preserve">MER-50</t>
  </si>
  <si>
    <t xml:space="preserve">Mercado</t>
  </si>
  <si>
    <t xml:space="preserve">Tenés presupuesto para un solo fichaje: un delantero de 32 años goleador probado, o un juvenil de 19 con proyección.</t>
  </si>
  <si>
    <t xml:space="preserve">El veterano</t>
  </si>
  <si>
    <t xml:space="preserve">Resultado ahora. Se te va en dos años sin dejar nada.</t>
  </si>
  <si>
    <t xml:space="preserve">El juvenil</t>
  </si>
  <si>
    <t xml:space="preserve">Proyecto. Te la tenés que bancar seis meses.</t>
  </si>
  <si>
    <t xml:space="preserve">MER-51</t>
  </si>
  <si>
    <t xml:space="preserve">Aparece un jugador libre de excelente nivel, pero viene de una lesión grave de un año.</t>
  </si>
  <si>
    <t xml:space="preserve">Lo firmás</t>
  </si>
  <si>
    <t xml:space="preserve">Apuesta con alta varianza.</t>
  </si>
  <si>
    <t xml:space="preserve">No lo firmás</t>
  </si>
  <si>
    <t xml:space="preserve">Prudencia.</t>
  </si>
  <si>
    <t xml:space="preserve">Lo firmás con contrato por objetivos</t>
  </si>
  <si>
    <t xml:space="preserve">La jugada financieramente correcta.</t>
  </si>
  <si>
    <t xml:space="preserve">MER-52</t>
  </si>
  <si>
    <t xml:space="preserve">Un club grande ofrece el triple del valor de mercado por tu volante central titular. Estamos a mitad de temporada.</t>
  </si>
  <si>
    <t xml:space="preserve">Lo vendés</t>
  </si>
  <si>
    <t xml:space="preserve">Salud financiera, desastre deportivo inmediato.</t>
  </si>
  <si>
    <t xml:space="preserve">Lo retenés</t>
  </si>
  <si>
    <t xml:space="preserve">La hinchada te ama, la directiva te odia.</t>
  </si>
  <si>
    <t xml:space="preserve">Lo vendés pero pedís que se quede a préstamo hasta fin de temporada</t>
  </si>
  <si>
    <t xml:space="preserve">La solución de un DT con muñeca.</t>
  </si>
  <si>
    <t xml:space="preserve">MER-53</t>
  </si>
  <si>
    <t xml:space="preserve">Tu goleador está a un año de terminar contrato y no quiere renovar.</t>
  </si>
  <si>
    <t xml:space="preserve">Lo vendés ahora</t>
  </si>
  <si>
    <t xml:space="preserve">No lo perdés gratis.</t>
  </si>
  <si>
    <t xml:space="preserve">Lo mantenés y lo perdés libre</t>
  </si>
  <si>
    <t xml:space="preserve">Priorizás la temporada.</t>
  </si>
  <si>
    <t xml:space="preserve">Lo sentás para presionarlo a renovar</t>
  </si>
  <si>
    <t xml:space="preserve">Casi nunca funciona y rompe el vestuario.</t>
  </si>
  <si>
    <t xml:space="preserve">MER-54</t>
  </si>
  <si>
    <t xml:space="preserve">Te ofrecen a un jugador de nivel muy superior al del club, pero con un sueldo que rompe la escala salarial del plantel.</t>
  </si>
  <si>
    <t xml:space="preserve">El vestuario se entera del sueldo en una semana.</t>
  </si>
  <si>
    <t xml:space="preserve">Cuidás la estructura interna.</t>
  </si>
  <si>
    <t xml:space="preserve">Lo firmás y le subís el sueldo a tus referentes</t>
  </si>
  <si>
    <t xml:space="preserve">Caro pero coherente.</t>
  </si>
  <si>
    <t xml:space="preserve">MER-55</t>
  </si>
  <si>
    <t xml:space="preserve">Tenés un excedente de volantes centrales y falta de laterales. Nadie quiere a tus volantes.</t>
  </si>
  <si>
    <t xml:space="preserve">Reconvertís a un volante en lateral</t>
  </si>
  <si>
    <t xml:space="preserve">Trabajo de entrenador.</t>
  </si>
  <si>
    <t xml:space="preserve">Los regalás para liberar sueldo y comprar un lateral</t>
  </si>
  <si>
    <t xml:space="preserve">Pragmático.</t>
  </si>
  <si>
    <t xml:space="preserve">Te la bancás con lo que tenés</t>
  </si>
  <si>
    <t xml:space="preserve">Aguantar.</t>
  </si>
  <si>
    <t xml:space="preserve">MER-56</t>
  </si>
  <si>
    <t xml:space="preserve">Un jugador de tu cantera tiene una oferta de Europa. El club necesita esa plata.</t>
  </si>
  <si>
    <t xml:space="preserve">Lo que pasa siempre en la realidad.</t>
  </si>
  <si>
    <t xml:space="preserve">Peleás para que se quede un año más</t>
  </si>
  <si>
    <t xml:space="preserve">Le agregás valor y lo formás.</t>
  </si>
  <si>
    <t xml:space="preserve">MER-57</t>
  </si>
  <si>
    <t xml:space="preserve">Se te cayó el fichaje que tenías cerrado en el último día del mercado.</t>
  </si>
  <si>
    <t xml:space="preserve">Firmás un plan B mediocre</t>
  </si>
  <si>
    <t xml:space="preserve">Tapás el agujero.</t>
  </si>
  <si>
    <t xml:space="preserve">No firmás a nadie y ascendés a un juvenil</t>
  </si>
  <si>
    <t xml:space="preserve">Convertís el problema en oportunidad.</t>
  </si>
  <si>
    <t xml:space="preserve">Pedís un préstamo de emergencia al club</t>
  </si>
  <si>
    <t xml:space="preserve">Gastás capital político.</t>
  </si>
  <si>
    <t xml:space="preserve">MER-58</t>
  </si>
  <si>
    <t xml:space="preserve">Un representante te ofrece un jugador y te insinúa que hay una comisión para vos.</t>
  </si>
  <si>
    <t xml:space="preserve">Aceptás</t>
  </si>
  <si>
    <t xml:space="preserve">Si se sabe, es el final de tu carrera.</t>
  </si>
  <si>
    <t xml:space="preserve">Rechazás</t>
  </si>
  <si>
    <t xml:space="preserve">Rechazás y lo denunciás al club</t>
  </si>
  <si>
    <t xml:space="preserve">Te cubrís y ganás respaldo institucional.</t>
  </si>
  <si>
    <t xml:space="preserve">MER-59</t>
  </si>
  <si>
    <t xml:space="preserve">Podés fichar a un jugador que se peleó con la hinchada de tu club cuando jugaba en el clásico rival.</t>
  </si>
  <si>
    <t xml:space="preserve">Deportivamente correcto, socialmente caro.</t>
  </si>
  <si>
    <t xml:space="preserve">Leés el contexto.</t>
  </si>
  <si>
    <t xml:space="preserve">Lo firmás y armás un acto de presentación con la hinchada</t>
  </si>
  <si>
    <t xml:space="preserve">Gestión de imagen.</t>
  </si>
  <si>
    <t xml:space="preserve">MER-60</t>
  </si>
  <si>
    <t xml:space="preserve">Tenés plata para tres refuerzos medianos o para un solo jugador top.</t>
  </si>
  <si>
    <t xml:space="preserve">Tres medianos</t>
  </si>
  <si>
    <t xml:space="preserve">Fondo de plantel. Te salva en las rachas de partidos.</t>
  </si>
  <si>
    <t xml:space="preserve">Un top</t>
  </si>
  <si>
    <t xml:space="preserve">Cambia partidos. Si se lesiona, te quedaste sin nada.</t>
  </si>
  <si>
    <t xml:space="preserve">LEYENDA Y CONTROL DE BALANCE</t>
  </si>
  <si>
    <t xml:space="preserve">LAS CUATRO VARIABLES</t>
  </si>
  <si>
    <t xml:space="preserve">Rendimiento deportivo de la temporada. Alimenta el puntaje base de los cruces.</t>
  </si>
  <si>
    <t xml:space="preserve">Respaldo institucional. Si cae muy bajo, te echan aunque los resultados acompañen.</t>
  </si>
  <si>
    <t xml:space="preserve">Presión de tribuna. Afecta el rendimiento de local y la tolerancia a las malas rachas.</t>
  </si>
  <si>
    <t xml:space="preserve">Cohesión de vestuario. Multiplica o penaliza el rendimiento de todo el equipo.</t>
  </si>
  <si>
    <t xml:space="preserve">ESCALA DE IMPACTO</t>
  </si>
  <si>
    <t xml:space="preserve">+3 / -3</t>
  </si>
  <si>
    <t xml:space="preserve">Movimiento fuerte. Reservado para decisiones que definen tu identidad como DT.</t>
  </si>
  <si>
    <t xml:space="preserve">+2 / -2</t>
  </si>
  <si>
    <t xml:space="preserve">Movimiento claro, se nota en la temporada.</t>
  </si>
  <si>
    <t xml:space="preserve">+1 / -1</t>
  </si>
  <si>
    <t xml:space="preserve">Ajuste fino.</t>
  </si>
  <si>
    <t xml:space="preserve">0</t>
  </si>
  <si>
    <t xml:space="preserve">Neutro en esa variable.</t>
  </si>
  <si>
    <t xml:space="preserve">CONTROL DE SUMA CERO POR VARIABLE</t>
  </si>
  <si>
    <t xml:space="preserve">Si una columna suma muy positivo, esa variable se infla sola con el tiempo y deja de ser una restricción real.</t>
  </si>
  <si>
    <t xml:space="preserve">Variable</t>
  </si>
  <si>
    <t xml:space="preserve">Suma total</t>
  </si>
  <si>
    <t xml:space="preserve">Positivos</t>
  </si>
  <si>
    <t xml:space="preserve">Negativos</t>
  </si>
  <si>
    <t xml:space="preserve">SITUACIONES POR CATEGORÍA</t>
  </si>
  <si>
    <t xml:space="preserve">TOTAL</t>
  </si>
  <si>
    <t xml:space="preserve">CÓMO USAR ESTO EN EL JUEGO</t>
  </si>
  <si>
    <t xml:space="preserve">1. Cada temporada el motor saca 2 situaciones del pool sin repetir dentro de la misma carrera.</t>
  </si>
  <si>
    <t xml:space="preserve">2. En modo duelo (Formato B), la seed compartida garantiza que los dos DTs reciban exactamente las mismas situaciones en el mismo orden.</t>
  </si>
  <si>
    <t xml:space="preserve">3. Las 4 variables acumuladas al final se convierten en el score y en la nota (S / A / B / C).</t>
  </si>
  <si>
    <t xml:space="preserve">4. El patrón de decisiones define el apodo de la tarjeta final: muchas decisiones pro-plantel = 'El Formador'; muchas pro-directiva = 'El Político'; etc.</t>
  </si>
  <si>
    <t xml:space="preserve">5. Las situaciones de categoría Táctica pueden además modificar directamente los atributos del equipo que usa el motor de resolución (Ataque / Creación / Defensa / Presión).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</si>
</sst>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0;\-0;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8" min="5" style="0" width="11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true" outlineLevel="0" collapsed="false">
      <c r="A5" s="4" t="s">
        <v>11</v>
      </c>
      <c r="B5" s="5" t="s">
        <v>12</v>
      </c>
      <c r="C5" s="6" t="s">
        <v>13</v>
      </c>
      <c r="D5" s="7" t="s">
        <v>14</v>
      </c>
      <c r="E5" s="8" t="n">
        <v>0</v>
      </c>
      <c r="F5" s="9" t="n">
        <v>1</v>
      </c>
      <c r="G5" s="8" t="n">
        <v>0</v>
      </c>
      <c r="H5" s="9" t="n">
        <v>1</v>
      </c>
      <c r="I5" s="10" t="s">
        <v>15</v>
      </c>
    </row>
    <row r="6" customFormat="false" ht="15" hidden="false" customHeight="false" outlineLevel="0" collapsed="false">
      <c r="A6" s="4"/>
      <c r="B6" s="4"/>
      <c r="C6" s="4"/>
      <c r="D6" s="7" t="s">
        <v>16</v>
      </c>
      <c r="E6" s="11" t="n">
        <v>-1</v>
      </c>
      <c r="F6" s="9" t="n">
        <v>1</v>
      </c>
      <c r="G6" s="11" t="n">
        <v>-1</v>
      </c>
      <c r="H6" s="9" t="n">
        <v>2</v>
      </c>
      <c r="I6" s="10" t="s">
        <v>17</v>
      </c>
    </row>
    <row r="7" customFormat="false" ht="19.4" hidden="false" customHeight="false" outlineLevel="0" collapsed="false">
      <c r="A7" s="4"/>
      <c r="B7" s="4"/>
      <c r="C7" s="4"/>
      <c r="D7" s="7" t="s">
        <v>18</v>
      </c>
      <c r="E7" s="9" t="n">
        <v>1</v>
      </c>
      <c r="F7" s="11" t="n">
        <v>-2</v>
      </c>
      <c r="G7" s="8" t="n">
        <v>0</v>
      </c>
      <c r="H7" s="11" t="n">
        <v>-1</v>
      </c>
      <c r="I7" s="10" t="s">
        <v>19</v>
      </c>
    </row>
    <row r="8" customFormat="false" ht="15" hidden="false" customHeight="true" outlineLevel="0" collapsed="false">
      <c r="A8" s="4" t="s">
        <v>20</v>
      </c>
      <c r="B8" s="5" t="s">
        <v>12</v>
      </c>
      <c r="C8" s="6" t="s">
        <v>21</v>
      </c>
      <c r="D8" s="7" t="s">
        <v>22</v>
      </c>
      <c r="E8" s="9" t="n">
        <v>2</v>
      </c>
      <c r="F8" s="8" t="n">
        <v>0</v>
      </c>
      <c r="G8" s="9" t="n">
        <v>1</v>
      </c>
      <c r="H8" s="11" t="n">
        <v>-2</v>
      </c>
      <c r="I8" s="10" t="s">
        <v>23</v>
      </c>
    </row>
    <row r="9" customFormat="false" ht="15" hidden="false" customHeight="false" outlineLevel="0" collapsed="false">
      <c r="A9" s="4"/>
      <c r="B9" s="4"/>
      <c r="C9" s="4"/>
      <c r="D9" s="7" t="s">
        <v>24</v>
      </c>
      <c r="E9" s="8" t="n">
        <v>0</v>
      </c>
      <c r="F9" s="8" t="n">
        <v>0</v>
      </c>
      <c r="G9" s="8" t="n">
        <v>0</v>
      </c>
      <c r="H9" s="8" t="n">
        <v>0</v>
      </c>
      <c r="I9" s="10" t="s">
        <v>25</v>
      </c>
    </row>
    <row r="10" customFormat="false" ht="15" hidden="false" customHeight="false" outlineLevel="0" collapsed="false">
      <c r="A10" s="4"/>
      <c r="B10" s="4"/>
      <c r="C10" s="4"/>
      <c r="D10" s="7" t="s">
        <v>26</v>
      </c>
      <c r="E10" s="11" t="n">
        <v>-2</v>
      </c>
      <c r="F10" s="9" t="n">
        <v>1</v>
      </c>
      <c r="G10" s="11" t="n">
        <v>-1</v>
      </c>
      <c r="H10" s="9" t="n">
        <v>2</v>
      </c>
      <c r="I10" s="10" t="s">
        <v>27</v>
      </c>
    </row>
    <row r="11" customFormat="false" ht="15" hidden="false" customHeight="true" outlineLevel="0" collapsed="false">
      <c r="A11" s="4" t="s">
        <v>28</v>
      </c>
      <c r="B11" s="5" t="s">
        <v>12</v>
      </c>
      <c r="C11" s="6" t="s">
        <v>29</v>
      </c>
      <c r="D11" s="7" t="s">
        <v>30</v>
      </c>
      <c r="E11" s="9" t="n">
        <v>1</v>
      </c>
      <c r="F11" s="8" t="n">
        <v>0</v>
      </c>
      <c r="G11" s="11" t="n">
        <v>-1</v>
      </c>
      <c r="H11" s="11" t="n">
        <v>-1</v>
      </c>
      <c r="I11" s="10" t="s">
        <v>31</v>
      </c>
    </row>
    <row r="12" customFormat="false" ht="15" hidden="false" customHeight="false" outlineLevel="0" collapsed="false">
      <c r="A12" s="4"/>
      <c r="B12" s="4"/>
      <c r="C12" s="4"/>
      <c r="D12" s="7" t="s">
        <v>32</v>
      </c>
      <c r="E12" s="11" t="n">
        <v>-1</v>
      </c>
      <c r="F12" s="8" t="n">
        <v>0</v>
      </c>
      <c r="G12" s="9" t="n">
        <v>1</v>
      </c>
      <c r="H12" s="9" t="n">
        <v>1</v>
      </c>
      <c r="I12" s="10" t="s">
        <v>33</v>
      </c>
    </row>
    <row r="13" customFormat="false" ht="15" hidden="false" customHeight="false" outlineLevel="0" collapsed="false">
      <c r="A13" s="4"/>
      <c r="B13" s="4"/>
      <c r="C13" s="4"/>
      <c r="D13" s="7" t="s">
        <v>34</v>
      </c>
      <c r="E13" s="9" t="n">
        <v>1</v>
      </c>
      <c r="F13" s="8" t="n">
        <v>0</v>
      </c>
      <c r="G13" s="8" t="n">
        <v>0</v>
      </c>
      <c r="H13" s="9" t="n">
        <v>2</v>
      </c>
      <c r="I13" s="10" t="s">
        <v>35</v>
      </c>
    </row>
    <row r="14" customFormat="false" ht="15" hidden="false" customHeight="true" outlineLevel="0" collapsed="false">
      <c r="A14" s="4" t="s">
        <v>36</v>
      </c>
      <c r="B14" s="5" t="s">
        <v>12</v>
      </c>
      <c r="C14" s="6" t="s">
        <v>37</v>
      </c>
      <c r="D14" s="7" t="s">
        <v>38</v>
      </c>
      <c r="E14" s="8" t="n">
        <v>0</v>
      </c>
      <c r="F14" s="8" t="n">
        <v>0</v>
      </c>
      <c r="G14" s="8" t="n">
        <v>0</v>
      </c>
      <c r="H14" s="9" t="n">
        <v>2</v>
      </c>
      <c r="I14" s="10" t="s">
        <v>39</v>
      </c>
    </row>
    <row r="15" customFormat="false" ht="15" hidden="false" customHeight="false" outlineLevel="0" collapsed="false">
      <c r="A15" s="4"/>
      <c r="B15" s="4"/>
      <c r="C15" s="4"/>
      <c r="D15" s="7" t="s">
        <v>40</v>
      </c>
      <c r="E15" s="11" t="n">
        <v>-1</v>
      </c>
      <c r="F15" s="11" t="n">
        <v>-1</v>
      </c>
      <c r="G15" s="11" t="n">
        <v>-1</v>
      </c>
      <c r="H15" s="9" t="n">
        <v>2</v>
      </c>
      <c r="I15" s="10" t="s">
        <v>41</v>
      </c>
    </row>
    <row r="16" customFormat="false" ht="15" hidden="false" customHeight="false" outlineLevel="0" collapsed="false">
      <c r="A16" s="4"/>
      <c r="B16" s="4"/>
      <c r="C16" s="4"/>
      <c r="D16" s="7" t="s">
        <v>42</v>
      </c>
      <c r="E16" s="9" t="n">
        <v>1</v>
      </c>
      <c r="F16" s="8" t="n">
        <v>0</v>
      </c>
      <c r="G16" s="8" t="n">
        <v>0</v>
      </c>
      <c r="H16" s="11" t="n">
        <v>-2</v>
      </c>
      <c r="I16" s="10" t="s">
        <v>43</v>
      </c>
    </row>
    <row r="17" customFormat="false" ht="15" hidden="false" customHeight="true" outlineLevel="0" collapsed="false">
      <c r="A17" s="4" t="s">
        <v>44</v>
      </c>
      <c r="B17" s="5" t="s">
        <v>12</v>
      </c>
      <c r="C17" s="6" t="s">
        <v>45</v>
      </c>
      <c r="D17" s="7" t="s">
        <v>46</v>
      </c>
      <c r="E17" s="8" t="n">
        <v>0</v>
      </c>
      <c r="F17" s="8" t="n">
        <v>0</v>
      </c>
      <c r="G17" s="8" t="n">
        <v>0</v>
      </c>
      <c r="H17" s="11" t="n">
        <v>-1</v>
      </c>
      <c r="I17" s="10" t="s">
        <v>47</v>
      </c>
    </row>
    <row r="18" customFormat="false" ht="15" hidden="false" customHeight="false" outlineLevel="0" collapsed="false">
      <c r="A18" s="4"/>
      <c r="B18" s="4"/>
      <c r="C18" s="4"/>
      <c r="D18" s="7" t="s">
        <v>48</v>
      </c>
      <c r="E18" s="8" t="n">
        <v>0</v>
      </c>
      <c r="F18" s="8" t="n">
        <v>0</v>
      </c>
      <c r="G18" s="8" t="n">
        <v>0</v>
      </c>
      <c r="H18" s="11" t="n">
        <v>-1</v>
      </c>
      <c r="I18" s="10" t="s">
        <v>49</v>
      </c>
    </row>
    <row r="19" customFormat="false" ht="15" hidden="false" customHeight="false" outlineLevel="0" collapsed="false">
      <c r="A19" s="4"/>
      <c r="B19" s="4"/>
      <c r="C19" s="4"/>
      <c r="D19" s="7" t="s">
        <v>50</v>
      </c>
      <c r="E19" s="9" t="n">
        <v>1</v>
      </c>
      <c r="F19" s="8" t="n">
        <v>0</v>
      </c>
      <c r="G19" s="8" t="n">
        <v>0</v>
      </c>
      <c r="H19" s="9" t="n">
        <v>2</v>
      </c>
      <c r="I19" s="10" t="s">
        <v>51</v>
      </c>
    </row>
    <row r="20" customFormat="false" ht="15" hidden="false" customHeight="true" outlineLevel="0" collapsed="false">
      <c r="A20" s="4" t="s">
        <v>52</v>
      </c>
      <c r="B20" s="5" t="s">
        <v>12</v>
      </c>
      <c r="C20" s="6" t="s">
        <v>53</v>
      </c>
      <c r="D20" s="7" t="s">
        <v>54</v>
      </c>
      <c r="E20" s="8" t="n">
        <v>0</v>
      </c>
      <c r="F20" s="8" t="n">
        <v>0</v>
      </c>
      <c r="G20" s="8" t="n">
        <v>0</v>
      </c>
      <c r="H20" s="9" t="n">
        <v>2</v>
      </c>
      <c r="I20" s="10" t="s">
        <v>55</v>
      </c>
    </row>
    <row r="21" customFormat="false" ht="15" hidden="false" customHeight="false" outlineLevel="0" collapsed="false">
      <c r="A21" s="4"/>
      <c r="B21" s="4"/>
      <c r="C21" s="4"/>
      <c r="D21" s="7" t="s">
        <v>56</v>
      </c>
      <c r="E21" s="8" t="n">
        <v>0</v>
      </c>
      <c r="F21" s="8" t="n">
        <v>0</v>
      </c>
      <c r="G21" s="8" t="n">
        <v>0</v>
      </c>
      <c r="H21" s="9" t="n">
        <v>1</v>
      </c>
      <c r="I21" s="10" t="s">
        <v>57</v>
      </c>
    </row>
    <row r="22" customFormat="false" ht="15" hidden="false" customHeight="false" outlineLevel="0" collapsed="false">
      <c r="A22" s="4"/>
      <c r="B22" s="4"/>
      <c r="C22" s="4"/>
      <c r="D22" s="7" t="s">
        <v>58</v>
      </c>
      <c r="E22" s="9" t="n">
        <v>1</v>
      </c>
      <c r="F22" s="8" t="n">
        <v>0</v>
      </c>
      <c r="G22" s="9" t="n">
        <v>1</v>
      </c>
      <c r="H22" s="11" t="n">
        <v>-2</v>
      </c>
      <c r="I22" s="10" t="s">
        <v>59</v>
      </c>
    </row>
    <row r="23" customFormat="false" ht="15" hidden="false" customHeight="true" outlineLevel="0" collapsed="false">
      <c r="A23" s="4" t="s">
        <v>60</v>
      </c>
      <c r="B23" s="5" t="s">
        <v>12</v>
      </c>
      <c r="C23" s="6" t="s">
        <v>61</v>
      </c>
      <c r="D23" s="7" t="s">
        <v>62</v>
      </c>
      <c r="E23" s="8" t="n">
        <v>0</v>
      </c>
      <c r="F23" s="8" t="n">
        <v>0</v>
      </c>
      <c r="G23" s="8" t="n">
        <v>0</v>
      </c>
      <c r="H23" s="9" t="n">
        <v>2</v>
      </c>
      <c r="I23" s="10" t="s">
        <v>63</v>
      </c>
    </row>
    <row r="24" customFormat="false" ht="15" hidden="false" customHeight="false" outlineLevel="0" collapsed="false">
      <c r="A24" s="4"/>
      <c r="B24" s="4"/>
      <c r="C24" s="4"/>
      <c r="D24" s="7" t="s">
        <v>64</v>
      </c>
      <c r="E24" s="8" t="n">
        <v>0</v>
      </c>
      <c r="F24" s="8" t="n">
        <v>0</v>
      </c>
      <c r="G24" s="8" t="n">
        <v>0</v>
      </c>
      <c r="H24" s="8" t="n">
        <v>0</v>
      </c>
      <c r="I24" s="10" t="s">
        <v>65</v>
      </c>
    </row>
    <row r="25" customFormat="false" ht="15" hidden="false" customHeight="false" outlineLevel="0" collapsed="false">
      <c r="A25" s="4"/>
      <c r="B25" s="4"/>
      <c r="C25" s="4"/>
      <c r="D25" s="7" t="s">
        <v>66</v>
      </c>
      <c r="E25" s="8" t="n">
        <v>0</v>
      </c>
      <c r="F25" s="9" t="n">
        <v>1</v>
      </c>
      <c r="G25" s="8" t="n">
        <v>0</v>
      </c>
      <c r="H25" s="11" t="n">
        <v>-2</v>
      </c>
      <c r="I25" s="10" t="s">
        <v>67</v>
      </c>
    </row>
    <row r="26" customFormat="false" ht="15" hidden="false" customHeight="true" outlineLevel="0" collapsed="false">
      <c r="A26" s="4" t="s">
        <v>68</v>
      </c>
      <c r="B26" s="5" t="s">
        <v>12</v>
      </c>
      <c r="C26" s="6" t="s">
        <v>69</v>
      </c>
      <c r="D26" s="7" t="s">
        <v>70</v>
      </c>
      <c r="E26" s="8" t="n">
        <v>0</v>
      </c>
      <c r="F26" s="8" t="n">
        <v>0</v>
      </c>
      <c r="G26" s="8" t="n">
        <v>0</v>
      </c>
      <c r="H26" s="8" t="n">
        <v>0</v>
      </c>
      <c r="I26" s="10" t="s">
        <v>71</v>
      </c>
    </row>
    <row r="27" customFormat="false" ht="15" hidden="false" customHeight="false" outlineLevel="0" collapsed="false">
      <c r="A27" s="4"/>
      <c r="B27" s="4"/>
      <c r="C27" s="4"/>
      <c r="D27" s="7" t="s">
        <v>72</v>
      </c>
      <c r="E27" s="11" t="n">
        <v>-1</v>
      </c>
      <c r="F27" s="9" t="n">
        <v>1</v>
      </c>
      <c r="G27" s="8" t="n">
        <v>0</v>
      </c>
      <c r="H27" s="9" t="n">
        <v>1</v>
      </c>
      <c r="I27" s="10" t="s">
        <v>73</v>
      </c>
    </row>
    <row r="28" customFormat="false" ht="15" hidden="false" customHeight="false" outlineLevel="0" collapsed="false">
      <c r="A28" s="4"/>
      <c r="B28" s="4"/>
      <c r="C28" s="4"/>
      <c r="D28" s="7" t="s">
        <v>74</v>
      </c>
      <c r="E28" s="8" t="n">
        <v>0</v>
      </c>
      <c r="F28" s="8" t="n">
        <v>0</v>
      </c>
      <c r="G28" s="8" t="n">
        <v>0</v>
      </c>
      <c r="H28" s="9" t="n">
        <v>1</v>
      </c>
      <c r="I28" s="10" t="s">
        <v>75</v>
      </c>
    </row>
    <row r="29" customFormat="false" ht="15" hidden="false" customHeight="true" outlineLevel="0" collapsed="false">
      <c r="A29" s="4" t="s">
        <v>76</v>
      </c>
      <c r="B29" s="5" t="s">
        <v>12</v>
      </c>
      <c r="C29" s="6" t="s">
        <v>77</v>
      </c>
      <c r="D29" s="7" t="s">
        <v>78</v>
      </c>
      <c r="E29" s="8" t="n">
        <v>0</v>
      </c>
      <c r="F29" s="8" t="n">
        <v>0</v>
      </c>
      <c r="G29" s="8" t="n">
        <v>0</v>
      </c>
      <c r="H29" s="9" t="n">
        <v>2</v>
      </c>
      <c r="I29" s="10" t="s">
        <v>79</v>
      </c>
    </row>
    <row r="30" customFormat="false" ht="15" hidden="false" customHeight="false" outlineLevel="0" collapsed="false">
      <c r="A30" s="4"/>
      <c r="B30" s="4"/>
      <c r="C30" s="4"/>
      <c r="D30" s="7" t="s">
        <v>80</v>
      </c>
      <c r="E30" s="11" t="n">
        <v>-1</v>
      </c>
      <c r="F30" s="8" t="n">
        <v>0</v>
      </c>
      <c r="G30" s="8" t="n">
        <v>0</v>
      </c>
      <c r="H30" s="9" t="n">
        <v>1</v>
      </c>
      <c r="I30" s="10" t="s">
        <v>81</v>
      </c>
    </row>
    <row r="31" customFormat="false" ht="15" hidden="false" customHeight="false" outlineLevel="0" collapsed="false">
      <c r="A31" s="4"/>
      <c r="B31" s="4"/>
      <c r="C31" s="4"/>
      <c r="D31" s="7" t="s">
        <v>82</v>
      </c>
      <c r="E31" s="9" t="n">
        <v>1</v>
      </c>
      <c r="F31" s="8" t="n">
        <v>0</v>
      </c>
      <c r="G31" s="8" t="n">
        <v>0</v>
      </c>
      <c r="H31" s="11" t="n">
        <v>-1</v>
      </c>
      <c r="I31" s="10" t="s">
        <v>83</v>
      </c>
    </row>
    <row r="32" customFormat="false" ht="15" hidden="false" customHeight="true" outlineLevel="0" collapsed="false">
      <c r="A32" s="4" t="s">
        <v>84</v>
      </c>
      <c r="B32" s="5" t="s">
        <v>12</v>
      </c>
      <c r="C32" s="6" t="s">
        <v>85</v>
      </c>
      <c r="D32" s="7" t="s">
        <v>86</v>
      </c>
      <c r="E32" s="8" t="n">
        <v>0</v>
      </c>
      <c r="F32" s="8" t="n">
        <v>0</v>
      </c>
      <c r="G32" s="8" t="n">
        <v>0</v>
      </c>
      <c r="H32" s="9" t="n">
        <v>2</v>
      </c>
      <c r="I32" s="10" t="s">
        <v>87</v>
      </c>
    </row>
    <row r="33" customFormat="false" ht="15" hidden="false" customHeight="false" outlineLevel="0" collapsed="false">
      <c r="A33" s="4"/>
      <c r="B33" s="4"/>
      <c r="C33" s="4"/>
      <c r="D33" s="7" t="s">
        <v>88</v>
      </c>
      <c r="E33" s="9" t="n">
        <v>1</v>
      </c>
      <c r="F33" s="9" t="n">
        <v>1</v>
      </c>
      <c r="G33" s="8" t="n">
        <v>0</v>
      </c>
      <c r="H33" s="11" t="n">
        <v>-1</v>
      </c>
      <c r="I33" s="10" t="s">
        <v>89</v>
      </c>
    </row>
    <row r="34" customFormat="false" ht="15" hidden="false" customHeight="false" outlineLevel="0" collapsed="false">
      <c r="A34" s="4"/>
      <c r="B34" s="4"/>
      <c r="C34" s="4"/>
      <c r="D34" s="7" t="s">
        <v>90</v>
      </c>
      <c r="E34" s="8" t="n">
        <v>0</v>
      </c>
      <c r="F34" s="8" t="n">
        <v>0</v>
      </c>
      <c r="G34" s="8" t="n">
        <v>0</v>
      </c>
      <c r="H34" s="9" t="n">
        <v>1</v>
      </c>
      <c r="I34" s="10" t="s">
        <v>91</v>
      </c>
    </row>
    <row r="35" customFormat="false" ht="15" hidden="false" customHeight="true" outlineLevel="0" collapsed="false">
      <c r="A35" s="4" t="s">
        <v>92</v>
      </c>
      <c r="B35" s="5" t="s">
        <v>12</v>
      </c>
      <c r="C35" s="6" t="s">
        <v>93</v>
      </c>
      <c r="D35" s="7" t="s">
        <v>94</v>
      </c>
      <c r="E35" s="8" t="n">
        <v>0</v>
      </c>
      <c r="F35" s="8" t="n">
        <v>0</v>
      </c>
      <c r="G35" s="8" t="n">
        <v>0</v>
      </c>
      <c r="H35" s="11" t="n">
        <v>-1</v>
      </c>
      <c r="I35" s="10" t="s">
        <v>95</v>
      </c>
    </row>
    <row r="36" customFormat="false" ht="15" hidden="false" customHeight="false" outlineLevel="0" collapsed="false">
      <c r="A36" s="4"/>
      <c r="B36" s="4"/>
      <c r="C36" s="4"/>
      <c r="D36" s="7" t="s">
        <v>96</v>
      </c>
      <c r="E36" s="11" t="n">
        <v>-1</v>
      </c>
      <c r="F36" s="8" t="n">
        <v>0</v>
      </c>
      <c r="G36" s="8" t="n">
        <v>0</v>
      </c>
      <c r="H36" s="9" t="n">
        <v>2</v>
      </c>
      <c r="I36" s="10" t="s">
        <v>97</v>
      </c>
    </row>
    <row r="37" customFormat="false" ht="15" hidden="false" customHeight="false" outlineLevel="0" collapsed="false">
      <c r="A37" s="4"/>
      <c r="B37" s="4"/>
      <c r="C37" s="4"/>
      <c r="D37" s="7" t="s">
        <v>98</v>
      </c>
      <c r="E37" s="8" t="n">
        <v>0</v>
      </c>
      <c r="F37" s="8" t="n">
        <v>0</v>
      </c>
      <c r="G37" s="8" t="n">
        <v>0</v>
      </c>
      <c r="H37" s="11" t="n">
        <v>-3</v>
      </c>
      <c r="I37" s="10" t="s">
        <v>99</v>
      </c>
    </row>
    <row r="38" customFormat="false" ht="15" hidden="false" customHeight="true" outlineLevel="0" collapsed="false">
      <c r="A38" s="4" t="s">
        <v>100</v>
      </c>
      <c r="B38" s="5" t="s">
        <v>12</v>
      </c>
      <c r="C38" s="6" t="s">
        <v>101</v>
      </c>
      <c r="D38" s="7" t="s">
        <v>102</v>
      </c>
      <c r="E38" s="8" t="n">
        <v>0</v>
      </c>
      <c r="F38" s="8" t="n">
        <v>0</v>
      </c>
      <c r="G38" s="8" t="n">
        <v>0</v>
      </c>
      <c r="H38" s="9" t="n">
        <v>1</v>
      </c>
      <c r="I38" s="10" t="s">
        <v>103</v>
      </c>
    </row>
    <row r="39" customFormat="false" ht="15" hidden="false" customHeight="false" outlineLevel="0" collapsed="false">
      <c r="A39" s="4"/>
      <c r="B39" s="4"/>
      <c r="C39" s="4"/>
      <c r="D39" s="7" t="s">
        <v>104</v>
      </c>
      <c r="E39" s="8" t="n">
        <v>0</v>
      </c>
      <c r="F39" s="8" t="n">
        <v>0</v>
      </c>
      <c r="G39" s="8" t="n">
        <v>0</v>
      </c>
      <c r="H39" s="11" t="n">
        <v>-1</v>
      </c>
      <c r="I39" s="10" t="s">
        <v>105</v>
      </c>
    </row>
    <row r="40" customFormat="false" ht="15" hidden="false" customHeight="false" outlineLevel="0" collapsed="false">
      <c r="A40" s="4"/>
      <c r="B40" s="4"/>
      <c r="C40" s="4"/>
      <c r="D40" s="7" t="s">
        <v>106</v>
      </c>
      <c r="E40" s="9" t="n">
        <v>1</v>
      </c>
      <c r="F40" s="8" t="n">
        <v>0</v>
      </c>
      <c r="G40" s="8" t="n">
        <v>0</v>
      </c>
      <c r="H40" s="9" t="n">
        <v>2</v>
      </c>
      <c r="I40" s="10" t="s">
        <v>107</v>
      </c>
    </row>
    <row r="41" customFormat="false" ht="15" hidden="false" customHeight="true" outlineLevel="0" collapsed="false">
      <c r="A41" s="4" t="s">
        <v>108</v>
      </c>
      <c r="B41" s="5" t="s">
        <v>12</v>
      </c>
      <c r="C41" s="6" t="s">
        <v>109</v>
      </c>
      <c r="D41" s="7" t="s">
        <v>110</v>
      </c>
      <c r="E41" s="11" t="n">
        <v>-1</v>
      </c>
      <c r="F41" s="9" t="n">
        <v>1</v>
      </c>
      <c r="G41" s="11" t="n">
        <v>-1</v>
      </c>
      <c r="H41" s="8" t="n">
        <v>0</v>
      </c>
      <c r="I41" s="10" t="s">
        <v>111</v>
      </c>
    </row>
    <row r="42" customFormat="false" ht="15" hidden="false" customHeight="false" outlineLevel="0" collapsed="false">
      <c r="A42" s="4"/>
      <c r="B42" s="4"/>
      <c r="C42" s="4"/>
      <c r="D42" s="7" t="s">
        <v>112</v>
      </c>
      <c r="E42" s="9" t="n">
        <v>1</v>
      </c>
      <c r="F42" s="8" t="n">
        <v>0</v>
      </c>
      <c r="G42" s="9" t="n">
        <v>1</v>
      </c>
      <c r="H42" s="9" t="n">
        <v>1</v>
      </c>
      <c r="I42" s="10" t="s">
        <v>113</v>
      </c>
    </row>
    <row r="43" customFormat="false" ht="15" hidden="false" customHeight="false" outlineLevel="0" collapsed="false">
      <c r="A43" s="4"/>
      <c r="B43" s="4"/>
      <c r="C43" s="4"/>
      <c r="D43" s="7" t="s">
        <v>114</v>
      </c>
      <c r="E43" s="9" t="n">
        <v>1</v>
      </c>
      <c r="F43" s="9" t="n">
        <v>1</v>
      </c>
      <c r="G43" s="8" t="n">
        <v>0</v>
      </c>
      <c r="H43" s="9" t="n">
        <v>1</v>
      </c>
      <c r="I43" s="10" t="s">
        <v>115</v>
      </c>
    </row>
    <row r="44" customFormat="false" ht="15" hidden="false" customHeight="true" outlineLevel="0" collapsed="false">
      <c r="A44" s="4" t="s">
        <v>116</v>
      </c>
      <c r="B44" s="5" t="s">
        <v>12</v>
      </c>
      <c r="C44" s="6" t="s">
        <v>117</v>
      </c>
      <c r="D44" s="7" t="s">
        <v>118</v>
      </c>
      <c r="E44" s="8" t="n">
        <v>0</v>
      </c>
      <c r="F44" s="8" t="n">
        <v>0</v>
      </c>
      <c r="G44" s="8" t="n">
        <v>0</v>
      </c>
      <c r="H44" s="9" t="n">
        <v>2</v>
      </c>
      <c r="I44" s="10" t="s">
        <v>119</v>
      </c>
    </row>
    <row r="45" customFormat="false" ht="15" hidden="false" customHeight="false" outlineLevel="0" collapsed="false">
      <c r="A45" s="4"/>
      <c r="B45" s="4"/>
      <c r="C45" s="4"/>
      <c r="D45" s="7" t="s">
        <v>120</v>
      </c>
      <c r="E45" s="9" t="n">
        <v>1</v>
      </c>
      <c r="F45" s="8" t="n">
        <v>0</v>
      </c>
      <c r="G45" s="8" t="n">
        <v>0</v>
      </c>
      <c r="H45" s="8" t="n">
        <v>0</v>
      </c>
      <c r="I45" s="10" t="s">
        <v>121</v>
      </c>
    </row>
    <row r="46" customFormat="false" ht="19.4" hidden="false" customHeight="false" outlineLevel="0" collapsed="false">
      <c r="A46" s="4"/>
      <c r="B46" s="4"/>
      <c r="C46" s="4"/>
      <c r="D46" s="7" t="s">
        <v>122</v>
      </c>
      <c r="E46" s="9" t="n">
        <v>1</v>
      </c>
      <c r="F46" s="11" t="n">
        <v>-1</v>
      </c>
      <c r="G46" s="8" t="n">
        <v>0</v>
      </c>
      <c r="H46" s="11" t="n">
        <v>-1</v>
      </c>
      <c r="I46" s="10" t="s">
        <v>123</v>
      </c>
    </row>
    <row r="47" customFormat="false" ht="15" hidden="false" customHeight="true" outlineLevel="0" collapsed="false">
      <c r="A47" s="4" t="s">
        <v>124</v>
      </c>
      <c r="B47" s="12" t="s">
        <v>125</v>
      </c>
      <c r="C47" s="13" t="s">
        <v>126</v>
      </c>
      <c r="D47" s="7" t="s">
        <v>127</v>
      </c>
      <c r="E47" s="9" t="n">
        <v>1</v>
      </c>
      <c r="F47" s="8" t="n">
        <v>0</v>
      </c>
      <c r="G47" s="9" t="n">
        <v>1</v>
      </c>
      <c r="H47" s="11" t="n">
        <v>-1</v>
      </c>
      <c r="I47" s="10" t="s">
        <v>128</v>
      </c>
    </row>
    <row r="48" customFormat="false" ht="15" hidden="false" customHeight="false" outlineLevel="0" collapsed="false">
      <c r="A48" s="4"/>
      <c r="B48" s="4"/>
      <c r="C48" s="4"/>
      <c r="D48" s="7" t="s">
        <v>129</v>
      </c>
      <c r="E48" s="9" t="n">
        <v>1</v>
      </c>
      <c r="F48" s="8" t="n">
        <v>0</v>
      </c>
      <c r="G48" s="8" t="n">
        <v>0</v>
      </c>
      <c r="H48" s="8" t="n">
        <v>0</v>
      </c>
      <c r="I48" s="10" t="s">
        <v>130</v>
      </c>
    </row>
    <row r="49" customFormat="false" ht="15" hidden="false" customHeight="false" outlineLevel="0" collapsed="false">
      <c r="A49" s="4"/>
      <c r="B49" s="4"/>
      <c r="C49" s="4"/>
      <c r="D49" s="7" t="s">
        <v>131</v>
      </c>
      <c r="E49" s="11" t="n">
        <v>-1</v>
      </c>
      <c r="F49" s="8" t="n">
        <v>0</v>
      </c>
      <c r="G49" s="11" t="n">
        <v>-1</v>
      </c>
      <c r="H49" s="9" t="n">
        <v>1</v>
      </c>
      <c r="I49" s="10" t="s">
        <v>132</v>
      </c>
    </row>
    <row r="50" customFormat="false" ht="15" hidden="false" customHeight="true" outlineLevel="0" collapsed="false">
      <c r="A50" s="4" t="s">
        <v>133</v>
      </c>
      <c r="B50" s="12" t="s">
        <v>125</v>
      </c>
      <c r="C50" s="13" t="s">
        <v>134</v>
      </c>
      <c r="D50" s="7" t="s">
        <v>135</v>
      </c>
      <c r="E50" s="9" t="n">
        <v>2</v>
      </c>
      <c r="F50" s="8" t="n">
        <v>0</v>
      </c>
      <c r="G50" s="8" t="n">
        <v>0</v>
      </c>
      <c r="H50" s="8" t="n">
        <v>0</v>
      </c>
      <c r="I50" s="10" t="s">
        <v>136</v>
      </c>
    </row>
    <row r="51" customFormat="false" ht="15" hidden="false" customHeight="false" outlineLevel="0" collapsed="false">
      <c r="A51" s="4"/>
      <c r="B51" s="4"/>
      <c r="C51" s="4"/>
      <c r="D51" s="7" t="s">
        <v>137</v>
      </c>
      <c r="E51" s="9" t="n">
        <v>1</v>
      </c>
      <c r="F51" s="8" t="n">
        <v>0</v>
      </c>
      <c r="G51" s="11" t="n">
        <v>-1</v>
      </c>
      <c r="H51" s="8" t="n">
        <v>0</v>
      </c>
      <c r="I51" s="10" t="s">
        <v>138</v>
      </c>
    </row>
    <row r="52" customFormat="false" ht="15" hidden="false" customHeight="false" outlineLevel="0" collapsed="false">
      <c r="A52" s="4"/>
      <c r="B52" s="4"/>
      <c r="C52" s="4"/>
      <c r="D52" s="7" t="s">
        <v>139</v>
      </c>
      <c r="E52" s="11" t="n">
        <v>-1</v>
      </c>
      <c r="F52" s="8" t="n">
        <v>0</v>
      </c>
      <c r="G52" s="8" t="n">
        <v>0</v>
      </c>
      <c r="H52" s="9" t="n">
        <v>1</v>
      </c>
      <c r="I52" s="10" t="s">
        <v>140</v>
      </c>
    </row>
    <row r="53" customFormat="false" ht="15" hidden="false" customHeight="true" outlineLevel="0" collapsed="false">
      <c r="A53" s="4" t="s">
        <v>141</v>
      </c>
      <c r="B53" s="12" t="s">
        <v>125</v>
      </c>
      <c r="C53" s="13" t="s">
        <v>142</v>
      </c>
      <c r="D53" s="7" t="s">
        <v>143</v>
      </c>
      <c r="E53" s="9" t="n">
        <v>1</v>
      </c>
      <c r="F53" s="8" t="n">
        <v>0</v>
      </c>
      <c r="G53" s="8" t="n">
        <v>0</v>
      </c>
      <c r="H53" s="9" t="n">
        <v>1</v>
      </c>
      <c r="I53" s="10" t="s">
        <v>144</v>
      </c>
    </row>
    <row r="54" customFormat="false" ht="15" hidden="false" customHeight="false" outlineLevel="0" collapsed="false">
      <c r="A54" s="4"/>
      <c r="B54" s="4"/>
      <c r="C54" s="4"/>
      <c r="D54" s="7" t="s">
        <v>145</v>
      </c>
      <c r="E54" s="9" t="n">
        <v>1</v>
      </c>
      <c r="F54" s="8" t="n">
        <v>0</v>
      </c>
      <c r="G54" s="11" t="n">
        <v>-1</v>
      </c>
      <c r="H54" s="11" t="n">
        <v>-1</v>
      </c>
      <c r="I54" s="10" t="s">
        <v>146</v>
      </c>
    </row>
    <row r="55" customFormat="false" ht="15" hidden="false" customHeight="false" outlineLevel="0" collapsed="false">
      <c r="A55" s="4"/>
      <c r="B55" s="4"/>
      <c r="C55" s="4"/>
      <c r="D55" s="7" t="s">
        <v>147</v>
      </c>
      <c r="E55" s="11" t="n">
        <v>-1</v>
      </c>
      <c r="F55" s="8" t="n">
        <v>0</v>
      </c>
      <c r="G55" s="11" t="n">
        <v>-1</v>
      </c>
      <c r="H55" s="9" t="n">
        <v>2</v>
      </c>
      <c r="I55" s="10" t="s">
        <v>148</v>
      </c>
    </row>
    <row r="56" customFormat="false" ht="15" hidden="false" customHeight="true" outlineLevel="0" collapsed="false">
      <c r="A56" s="4" t="s">
        <v>149</v>
      </c>
      <c r="B56" s="12" t="s">
        <v>125</v>
      </c>
      <c r="C56" s="13" t="s">
        <v>150</v>
      </c>
      <c r="D56" s="7" t="s">
        <v>151</v>
      </c>
      <c r="E56" s="9" t="n">
        <v>1</v>
      </c>
      <c r="F56" s="9" t="n">
        <v>1</v>
      </c>
      <c r="G56" s="11" t="n">
        <v>-1</v>
      </c>
      <c r="H56" s="8" t="n">
        <v>0</v>
      </c>
      <c r="I56" s="10" t="s">
        <v>152</v>
      </c>
    </row>
    <row r="57" customFormat="false" ht="15" hidden="false" customHeight="false" outlineLevel="0" collapsed="false">
      <c r="A57" s="4"/>
      <c r="B57" s="4"/>
      <c r="C57" s="4"/>
      <c r="D57" s="7" t="s">
        <v>153</v>
      </c>
      <c r="E57" s="8" t="n">
        <v>0</v>
      </c>
      <c r="F57" s="11" t="n">
        <v>-1</v>
      </c>
      <c r="G57" s="9" t="n">
        <v>2</v>
      </c>
      <c r="H57" s="11" t="n">
        <v>-1</v>
      </c>
      <c r="I57" s="10" t="s">
        <v>154</v>
      </c>
    </row>
    <row r="58" customFormat="false" ht="15" hidden="false" customHeight="false" outlineLevel="0" collapsed="false">
      <c r="A58" s="4"/>
      <c r="B58" s="4"/>
      <c r="C58" s="4"/>
      <c r="D58" s="7" t="s">
        <v>155</v>
      </c>
      <c r="E58" s="8" t="n">
        <v>0</v>
      </c>
      <c r="F58" s="8" t="n">
        <v>0</v>
      </c>
      <c r="G58" s="8" t="n">
        <v>0</v>
      </c>
      <c r="H58" s="9" t="n">
        <v>2</v>
      </c>
      <c r="I58" s="10" t="s">
        <v>156</v>
      </c>
    </row>
    <row r="59" customFormat="false" ht="15" hidden="false" customHeight="true" outlineLevel="0" collapsed="false">
      <c r="A59" s="4" t="s">
        <v>157</v>
      </c>
      <c r="B59" s="12" t="s">
        <v>125</v>
      </c>
      <c r="C59" s="13" t="s">
        <v>158</v>
      </c>
      <c r="D59" s="7" t="s">
        <v>159</v>
      </c>
      <c r="E59" s="9" t="n">
        <v>2</v>
      </c>
      <c r="F59" s="11" t="n">
        <v>-1</v>
      </c>
      <c r="G59" s="11" t="n">
        <v>-1</v>
      </c>
      <c r="H59" s="9" t="n">
        <v>1</v>
      </c>
      <c r="I59" s="10" t="s">
        <v>160</v>
      </c>
    </row>
    <row r="60" customFormat="false" ht="15" hidden="false" customHeight="false" outlineLevel="0" collapsed="false">
      <c r="A60" s="4"/>
      <c r="B60" s="4"/>
      <c r="C60" s="4"/>
      <c r="D60" s="7" t="s">
        <v>161</v>
      </c>
      <c r="E60" s="11" t="n">
        <v>-1</v>
      </c>
      <c r="F60" s="9" t="n">
        <v>2</v>
      </c>
      <c r="G60" s="9" t="n">
        <v>1</v>
      </c>
      <c r="H60" s="11" t="n">
        <v>-1</v>
      </c>
      <c r="I60" s="10" t="s">
        <v>162</v>
      </c>
    </row>
    <row r="61" customFormat="false" ht="15" hidden="false" customHeight="false" outlineLevel="0" collapsed="false">
      <c r="A61" s="4"/>
      <c r="B61" s="4"/>
      <c r="C61" s="4"/>
      <c r="D61" s="7" t="s">
        <v>163</v>
      </c>
      <c r="E61" s="8" t="n">
        <v>0</v>
      </c>
      <c r="F61" s="9" t="n">
        <v>1</v>
      </c>
      <c r="G61" s="8" t="n">
        <v>0</v>
      </c>
      <c r="H61" s="8" t="n">
        <v>0</v>
      </c>
      <c r="I61" s="10" t="s">
        <v>164</v>
      </c>
    </row>
    <row r="62" customFormat="false" ht="15" hidden="false" customHeight="true" outlineLevel="0" collapsed="false">
      <c r="A62" s="4" t="s">
        <v>165</v>
      </c>
      <c r="B62" s="12" t="s">
        <v>125</v>
      </c>
      <c r="C62" s="13" t="s">
        <v>166</v>
      </c>
      <c r="D62" s="7" t="s">
        <v>167</v>
      </c>
      <c r="E62" s="9" t="n">
        <v>1</v>
      </c>
      <c r="F62" s="8" t="n">
        <v>0</v>
      </c>
      <c r="G62" s="9" t="n">
        <v>1</v>
      </c>
      <c r="H62" s="8" t="n">
        <v>0</v>
      </c>
      <c r="I62" s="10" t="s">
        <v>168</v>
      </c>
    </row>
    <row r="63" customFormat="false" ht="15" hidden="false" customHeight="false" outlineLevel="0" collapsed="false">
      <c r="A63" s="4"/>
      <c r="B63" s="4"/>
      <c r="C63" s="4"/>
      <c r="D63" s="7" t="s">
        <v>169</v>
      </c>
      <c r="E63" s="8" t="n">
        <v>0</v>
      </c>
      <c r="F63" s="8" t="n">
        <v>0</v>
      </c>
      <c r="G63" s="11" t="n">
        <v>-1</v>
      </c>
      <c r="H63" s="8" t="n">
        <v>0</v>
      </c>
      <c r="I63" s="10" t="s">
        <v>170</v>
      </c>
    </row>
    <row r="64" customFormat="false" ht="15" hidden="false" customHeight="false" outlineLevel="0" collapsed="false">
      <c r="A64" s="4"/>
      <c r="B64" s="4"/>
      <c r="C64" s="4"/>
      <c r="D64" s="7" t="s">
        <v>171</v>
      </c>
      <c r="E64" s="9" t="n">
        <v>2</v>
      </c>
      <c r="F64" s="8" t="n">
        <v>0</v>
      </c>
      <c r="G64" s="9" t="n">
        <v>1</v>
      </c>
      <c r="H64" s="11" t="n">
        <v>-1</v>
      </c>
      <c r="I64" s="10" t="s">
        <v>172</v>
      </c>
    </row>
    <row r="65" customFormat="false" ht="15" hidden="false" customHeight="true" outlineLevel="0" collapsed="false">
      <c r="A65" s="4" t="s">
        <v>173</v>
      </c>
      <c r="B65" s="12" t="s">
        <v>125</v>
      </c>
      <c r="C65" s="13" t="s">
        <v>174</v>
      </c>
      <c r="D65" s="7" t="s">
        <v>175</v>
      </c>
      <c r="E65" s="9" t="n">
        <v>1</v>
      </c>
      <c r="F65" s="8" t="n">
        <v>0</v>
      </c>
      <c r="G65" s="11" t="n">
        <v>-1</v>
      </c>
      <c r="H65" s="8" t="n">
        <v>0</v>
      </c>
      <c r="I65" s="10" t="s">
        <v>176</v>
      </c>
    </row>
    <row r="66" customFormat="false" ht="15" hidden="false" customHeight="false" outlineLevel="0" collapsed="false">
      <c r="A66" s="4"/>
      <c r="B66" s="4"/>
      <c r="C66" s="4"/>
      <c r="D66" s="7" t="s">
        <v>177</v>
      </c>
      <c r="E66" s="8" t="n">
        <v>0</v>
      </c>
      <c r="F66" s="8" t="n">
        <v>0</v>
      </c>
      <c r="G66" s="9" t="n">
        <v>2</v>
      </c>
      <c r="H66" s="11" t="n">
        <v>-1</v>
      </c>
      <c r="I66" s="10" t="s">
        <v>178</v>
      </c>
    </row>
    <row r="67" customFormat="false" ht="15" hidden="false" customHeight="false" outlineLevel="0" collapsed="false">
      <c r="A67" s="4"/>
      <c r="B67" s="4"/>
      <c r="C67" s="4"/>
      <c r="D67" s="7" t="s">
        <v>179</v>
      </c>
      <c r="E67" s="8" t="n">
        <v>0</v>
      </c>
      <c r="F67" s="8" t="n">
        <v>0</v>
      </c>
      <c r="G67" s="8" t="n">
        <v>0</v>
      </c>
      <c r="H67" s="9" t="n">
        <v>1</v>
      </c>
      <c r="I67" s="10" t="s">
        <v>180</v>
      </c>
    </row>
    <row r="68" customFormat="false" ht="15" hidden="false" customHeight="true" outlineLevel="0" collapsed="false">
      <c r="A68" s="4" t="s">
        <v>181</v>
      </c>
      <c r="B68" s="12" t="s">
        <v>125</v>
      </c>
      <c r="C68" s="13" t="s">
        <v>182</v>
      </c>
      <c r="D68" s="7" t="s">
        <v>183</v>
      </c>
      <c r="E68" s="9" t="n">
        <v>1</v>
      </c>
      <c r="F68" s="8" t="n">
        <v>0</v>
      </c>
      <c r="G68" s="11" t="n">
        <v>-1</v>
      </c>
      <c r="H68" s="9" t="n">
        <v>1</v>
      </c>
      <c r="I68" s="10" t="s">
        <v>184</v>
      </c>
    </row>
    <row r="69" customFormat="false" ht="15" hidden="false" customHeight="false" outlineLevel="0" collapsed="false">
      <c r="A69" s="4"/>
      <c r="B69" s="4"/>
      <c r="C69" s="4"/>
      <c r="D69" s="7" t="s">
        <v>185</v>
      </c>
      <c r="E69" s="11" t="n">
        <v>-1</v>
      </c>
      <c r="F69" s="8" t="n">
        <v>0</v>
      </c>
      <c r="G69" s="9" t="n">
        <v>1</v>
      </c>
      <c r="H69" s="11" t="n">
        <v>-1</v>
      </c>
      <c r="I69" s="10" t="s">
        <v>186</v>
      </c>
    </row>
    <row r="70" customFormat="false" ht="15" hidden="false" customHeight="false" outlineLevel="0" collapsed="false">
      <c r="A70" s="4"/>
      <c r="B70" s="4"/>
      <c r="C70" s="4"/>
      <c r="D70" s="7" t="s">
        <v>187</v>
      </c>
      <c r="E70" s="9" t="n">
        <v>1</v>
      </c>
      <c r="F70" s="8" t="n">
        <v>0</v>
      </c>
      <c r="G70" s="8" t="n">
        <v>0</v>
      </c>
      <c r="H70" s="8" t="n">
        <v>0</v>
      </c>
      <c r="I70" s="10" t="s">
        <v>188</v>
      </c>
    </row>
    <row r="71" customFormat="false" ht="15" hidden="false" customHeight="true" outlineLevel="0" collapsed="false">
      <c r="A71" s="4" t="s">
        <v>189</v>
      </c>
      <c r="B71" s="12" t="s">
        <v>125</v>
      </c>
      <c r="C71" s="13" t="s">
        <v>190</v>
      </c>
      <c r="D71" s="7" t="s">
        <v>191</v>
      </c>
      <c r="E71" s="8" t="n">
        <v>0</v>
      </c>
      <c r="F71" s="8" t="n">
        <v>0</v>
      </c>
      <c r="G71" s="8" t="n">
        <v>0</v>
      </c>
      <c r="H71" s="9" t="n">
        <v>1</v>
      </c>
      <c r="I71" s="10" t="s">
        <v>192</v>
      </c>
    </row>
    <row r="72" customFormat="false" ht="15" hidden="false" customHeight="false" outlineLevel="0" collapsed="false">
      <c r="A72" s="4"/>
      <c r="B72" s="4"/>
      <c r="C72" s="4"/>
      <c r="D72" s="7" t="s">
        <v>193</v>
      </c>
      <c r="E72" s="9" t="n">
        <v>1</v>
      </c>
      <c r="F72" s="8" t="n">
        <v>0</v>
      </c>
      <c r="G72" s="8" t="n">
        <v>0</v>
      </c>
      <c r="H72" s="8" t="n">
        <v>0</v>
      </c>
      <c r="I72" s="10" t="s">
        <v>194</v>
      </c>
    </row>
    <row r="73" customFormat="false" ht="15" hidden="false" customHeight="false" outlineLevel="0" collapsed="false">
      <c r="A73" s="4"/>
      <c r="B73" s="4"/>
      <c r="C73" s="4"/>
      <c r="D73" s="7" t="s">
        <v>195</v>
      </c>
      <c r="E73" s="9" t="n">
        <v>1</v>
      </c>
      <c r="F73" s="8" t="n">
        <v>0</v>
      </c>
      <c r="G73" s="9" t="n">
        <v>1</v>
      </c>
      <c r="H73" s="11" t="n">
        <v>-1</v>
      </c>
      <c r="I73" s="10" t="s">
        <v>196</v>
      </c>
    </row>
    <row r="74" customFormat="false" ht="15" hidden="false" customHeight="true" outlineLevel="0" collapsed="false">
      <c r="A74" s="4" t="s">
        <v>197</v>
      </c>
      <c r="B74" s="12" t="s">
        <v>125</v>
      </c>
      <c r="C74" s="13" t="s">
        <v>198</v>
      </c>
      <c r="D74" s="7" t="s">
        <v>199</v>
      </c>
      <c r="E74" s="9" t="n">
        <v>1</v>
      </c>
      <c r="F74" s="8" t="n">
        <v>0</v>
      </c>
      <c r="G74" s="8" t="n">
        <v>0</v>
      </c>
      <c r="H74" s="8" t="n">
        <v>0</v>
      </c>
      <c r="I74" s="10" t="s">
        <v>200</v>
      </c>
    </row>
    <row r="75" customFormat="false" ht="15" hidden="false" customHeight="false" outlineLevel="0" collapsed="false">
      <c r="A75" s="4"/>
      <c r="B75" s="4"/>
      <c r="C75" s="4"/>
      <c r="D75" s="7" t="s">
        <v>201</v>
      </c>
      <c r="E75" s="9" t="n">
        <v>2</v>
      </c>
      <c r="F75" s="8" t="n">
        <v>0</v>
      </c>
      <c r="G75" s="8" t="n">
        <v>0</v>
      </c>
      <c r="H75" s="9" t="n">
        <v>1</v>
      </c>
      <c r="I75" s="10" t="s">
        <v>202</v>
      </c>
    </row>
    <row r="76" customFormat="false" ht="15" hidden="false" customHeight="false" outlineLevel="0" collapsed="false">
      <c r="A76" s="4"/>
      <c r="B76" s="4"/>
      <c r="C76" s="4"/>
      <c r="D76" s="7" t="s">
        <v>203</v>
      </c>
      <c r="E76" s="11" t="n">
        <v>-1</v>
      </c>
      <c r="F76" s="8" t="n">
        <v>0</v>
      </c>
      <c r="G76" s="8" t="n">
        <v>0</v>
      </c>
      <c r="H76" s="8" t="n">
        <v>0</v>
      </c>
      <c r="I76" s="10" t="s">
        <v>204</v>
      </c>
    </row>
    <row r="77" customFormat="false" ht="15" hidden="false" customHeight="true" outlineLevel="0" collapsed="false">
      <c r="A77" s="4" t="s">
        <v>205</v>
      </c>
      <c r="B77" s="12" t="s">
        <v>125</v>
      </c>
      <c r="C77" s="13" t="s">
        <v>206</v>
      </c>
      <c r="D77" s="7" t="s">
        <v>207</v>
      </c>
      <c r="E77" s="9" t="n">
        <v>1</v>
      </c>
      <c r="F77" s="8" t="n">
        <v>0</v>
      </c>
      <c r="G77" s="8" t="n">
        <v>0</v>
      </c>
      <c r="H77" s="11" t="n">
        <v>-2</v>
      </c>
      <c r="I77" s="10" t="s">
        <v>208</v>
      </c>
    </row>
    <row r="78" customFormat="false" ht="15" hidden="false" customHeight="false" outlineLevel="0" collapsed="false">
      <c r="A78" s="4"/>
      <c r="B78" s="4"/>
      <c r="C78" s="4"/>
      <c r="D78" s="7" t="s">
        <v>209</v>
      </c>
      <c r="E78" s="8" t="n">
        <v>0</v>
      </c>
      <c r="F78" s="8" t="n">
        <v>0</v>
      </c>
      <c r="G78" s="11" t="n">
        <v>-1</v>
      </c>
      <c r="H78" s="9" t="n">
        <v>2</v>
      </c>
      <c r="I78" s="10" t="s">
        <v>210</v>
      </c>
    </row>
    <row r="79" customFormat="false" ht="15" hidden="false" customHeight="false" outlineLevel="0" collapsed="false">
      <c r="A79" s="4"/>
      <c r="B79" s="4"/>
      <c r="C79" s="4"/>
      <c r="D79" s="7" t="s">
        <v>211</v>
      </c>
      <c r="E79" s="9" t="n">
        <v>1</v>
      </c>
      <c r="F79" s="8" t="n">
        <v>0</v>
      </c>
      <c r="G79" s="8" t="n">
        <v>0</v>
      </c>
      <c r="H79" s="9" t="n">
        <v>1</v>
      </c>
      <c r="I79" s="10" t="s">
        <v>212</v>
      </c>
    </row>
    <row r="80" customFormat="false" ht="15" hidden="false" customHeight="true" outlineLevel="0" collapsed="false">
      <c r="A80" s="4" t="s">
        <v>213</v>
      </c>
      <c r="B80" s="12" t="s">
        <v>125</v>
      </c>
      <c r="C80" s="13" t="s">
        <v>214</v>
      </c>
      <c r="D80" s="7" t="s">
        <v>215</v>
      </c>
      <c r="E80" s="9" t="n">
        <v>1</v>
      </c>
      <c r="F80" s="8" t="n">
        <v>0</v>
      </c>
      <c r="G80" s="9" t="n">
        <v>1</v>
      </c>
      <c r="H80" s="9" t="n">
        <v>1</v>
      </c>
      <c r="I80" s="10" t="s">
        <v>216</v>
      </c>
    </row>
    <row r="81" customFormat="false" ht="15" hidden="false" customHeight="false" outlineLevel="0" collapsed="false">
      <c r="A81" s="4"/>
      <c r="B81" s="4"/>
      <c r="C81" s="4"/>
      <c r="D81" s="7" t="s">
        <v>217</v>
      </c>
      <c r="E81" s="8" t="n">
        <v>0</v>
      </c>
      <c r="F81" s="8" t="n">
        <v>0</v>
      </c>
      <c r="G81" s="8" t="n">
        <v>0</v>
      </c>
      <c r="H81" s="9" t="n">
        <v>1</v>
      </c>
      <c r="I81" s="10" t="s">
        <v>218</v>
      </c>
    </row>
    <row r="82" customFormat="false" ht="15" hidden="false" customHeight="false" outlineLevel="0" collapsed="false">
      <c r="A82" s="4"/>
      <c r="B82" s="4"/>
      <c r="C82" s="4"/>
      <c r="D82" s="7" t="s">
        <v>219</v>
      </c>
      <c r="E82" s="11" t="n">
        <v>-1</v>
      </c>
      <c r="F82" s="8" t="n">
        <v>0</v>
      </c>
      <c r="G82" s="8" t="n">
        <v>0</v>
      </c>
      <c r="H82" s="11" t="n">
        <v>-1</v>
      </c>
      <c r="I82" s="10" t="s">
        <v>220</v>
      </c>
    </row>
    <row r="83" customFormat="false" ht="15" hidden="false" customHeight="true" outlineLevel="0" collapsed="false">
      <c r="A83" s="4" t="s">
        <v>221</v>
      </c>
      <c r="B83" s="14" t="s">
        <v>7</v>
      </c>
      <c r="C83" s="15" t="s">
        <v>222</v>
      </c>
      <c r="D83" s="7" t="s">
        <v>223</v>
      </c>
      <c r="E83" s="8" t="n">
        <v>0</v>
      </c>
      <c r="F83" s="9" t="n">
        <v>2</v>
      </c>
      <c r="G83" s="8" t="n">
        <v>0</v>
      </c>
      <c r="H83" s="11" t="n">
        <v>-3</v>
      </c>
      <c r="I83" s="10" t="s">
        <v>224</v>
      </c>
    </row>
    <row r="84" customFormat="false" ht="15" hidden="false" customHeight="false" outlineLevel="0" collapsed="false">
      <c r="A84" s="4"/>
      <c r="B84" s="4"/>
      <c r="C84" s="4"/>
      <c r="D84" s="7" t="s">
        <v>225</v>
      </c>
      <c r="E84" s="8" t="n">
        <v>0</v>
      </c>
      <c r="F84" s="11" t="n">
        <v>-2</v>
      </c>
      <c r="G84" s="8" t="n">
        <v>0</v>
      </c>
      <c r="H84" s="9" t="n">
        <v>2</v>
      </c>
      <c r="I84" s="10" t="s">
        <v>226</v>
      </c>
    </row>
    <row r="85" customFormat="false" ht="15" hidden="false" customHeight="false" outlineLevel="0" collapsed="false">
      <c r="A85" s="4"/>
      <c r="B85" s="4"/>
      <c r="C85" s="4"/>
      <c r="D85" s="7" t="s">
        <v>227</v>
      </c>
      <c r="E85" s="8" t="n">
        <v>0</v>
      </c>
      <c r="F85" s="8" t="n">
        <v>0</v>
      </c>
      <c r="G85" s="8" t="n">
        <v>0</v>
      </c>
      <c r="H85" s="8" t="n">
        <v>0</v>
      </c>
      <c r="I85" s="10" t="s">
        <v>228</v>
      </c>
    </row>
    <row r="86" customFormat="false" ht="15" hidden="false" customHeight="true" outlineLevel="0" collapsed="false">
      <c r="A86" s="4" t="s">
        <v>229</v>
      </c>
      <c r="B86" s="14" t="s">
        <v>7</v>
      </c>
      <c r="C86" s="15" t="s">
        <v>230</v>
      </c>
      <c r="D86" s="7" t="s">
        <v>231</v>
      </c>
      <c r="E86" s="8" t="n">
        <v>0</v>
      </c>
      <c r="F86" s="9" t="n">
        <v>2</v>
      </c>
      <c r="G86" s="8" t="n">
        <v>0</v>
      </c>
      <c r="H86" s="9" t="n">
        <v>1</v>
      </c>
      <c r="I86" s="10" t="s">
        <v>232</v>
      </c>
    </row>
    <row r="87" customFormat="false" ht="15" hidden="false" customHeight="false" outlineLevel="0" collapsed="false">
      <c r="A87" s="4"/>
      <c r="B87" s="4"/>
      <c r="C87" s="4"/>
      <c r="D87" s="7" t="s">
        <v>233</v>
      </c>
      <c r="E87" s="8" t="n">
        <v>0</v>
      </c>
      <c r="F87" s="11" t="n">
        <v>-1</v>
      </c>
      <c r="G87" s="8" t="n">
        <v>0</v>
      </c>
      <c r="H87" s="8" t="n">
        <v>0</v>
      </c>
      <c r="I87" s="10" t="s">
        <v>234</v>
      </c>
    </row>
    <row r="88" customFormat="false" ht="15" hidden="false" customHeight="false" outlineLevel="0" collapsed="false">
      <c r="A88" s="4"/>
      <c r="B88" s="4"/>
      <c r="C88" s="4"/>
      <c r="D88" s="7" t="s">
        <v>235</v>
      </c>
      <c r="E88" s="8" t="n">
        <v>0</v>
      </c>
      <c r="F88" s="8" t="n">
        <v>0</v>
      </c>
      <c r="G88" s="8" t="n">
        <v>0</v>
      </c>
      <c r="H88" s="8" t="n">
        <v>0</v>
      </c>
      <c r="I88" s="10" t="s">
        <v>236</v>
      </c>
    </row>
    <row r="89" customFormat="false" ht="15" hidden="false" customHeight="true" outlineLevel="0" collapsed="false">
      <c r="A89" s="4" t="s">
        <v>237</v>
      </c>
      <c r="B89" s="14" t="s">
        <v>7</v>
      </c>
      <c r="C89" s="15" t="s">
        <v>238</v>
      </c>
      <c r="D89" s="7" t="s">
        <v>239</v>
      </c>
      <c r="E89" s="11" t="n">
        <v>-2</v>
      </c>
      <c r="F89" s="9" t="n">
        <v>2</v>
      </c>
      <c r="G89" s="11" t="n">
        <v>-1</v>
      </c>
      <c r="H89" s="8" t="n">
        <v>0</v>
      </c>
      <c r="I89" s="10" t="s">
        <v>240</v>
      </c>
    </row>
    <row r="90" customFormat="false" ht="15" hidden="false" customHeight="false" outlineLevel="0" collapsed="false">
      <c r="A90" s="4"/>
      <c r="B90" s="4"/>
      <c r="C90" s="4"/>
      <c r="D90" s="7" t="s">
        <v>241</v>
      </c>
      <c r="E90" s="8" t="n">
        <v>0</v>
      </c>
      <c r="F90" s="11" t="n">
        <v>-2</v>
      </c>
      <c r="G90" s="9" t="n">
        <v>1</v>
      </c>
      <c r="H90" s="9" t="n">
        <v>1</v>
      </c>
      <c r="I90" s="10" t="s">
        <v>242</v>
      </c>
    </row>
    <row r="91" customFormat="false" ht="15" hidden="false" customHeight="false" outlineLevel="0" collapsed="false">
      <c r="A91" s="4"/>
      <c r="B91" s="4"/>
      <c r="C91" s="4"/>
      <c r="D91" s="7" t="s">
        <v>243</v>
      </c>
      <c r="E91" s="11" t="n">
        <v>-1</v>
      </c>
      <c r="F91" s="9" t="n">
        <v>1</v>
      </c>
      <c r="G91" s="8" t="n">
        <v>0</v>
      </c>
      <c r="H91" s="9" t="n">
        <v>2</v>
      </c>
      <c r="I91" s="10" t="s">
        <v>244</v>
      </c>
    </row>
    <row r="92" customFormat="false" ht="15" hidden="false" customHeight="true" outlineLevel="0" collapsed="false">
      <c r="A92" s="4" t="s">
        <v>245</v>
      </c>
      <c r="B92" s="14" t="s">
        <v>7</v>
      </c>
      <c r="C92" s="15" t="s">
        <v>246</v>
      </c>
      <c r="D92" s="7" t="s">
        <v>247</v>
      </c>
      <c r="E92" s="11" t="n">
        <v>-1</v>
      </c>
      <c r="F92" s="9" t="n">
        <v>2</v>
      </c>
      <c r="G92" s="8" t="n">
        <v>0</v>
      </c>
      <c r="H92" s="11" t="n">
        <v>-1</v>
      </c>
      <c r="I92" s="10" t="s">
        <v>248</v>
      </c>
    </row>
    <row r="93" customFormat="false" ht="15" hidden="false" customHeight="false" outlineLevel="0" collapsed="false">
      <c r="A93" s="4"/>
      <c r="B93" s="4"/>
      <c r="C93" s="4"/>
      <c r="D93" s="7" t="s">
        <v>249</v>
      </c>
      <c r="E93" s="8" t="n">
        <v>0</v>
      </c>
      <c r="F93" s="11" t="n">
        <v>-2</v>
      </c>
      <c r="G93" s="8" t="n">
        <v>0</v>
      </c>
      <c r="H93" s="9" t="n">
        <v>1</v>
      </c>
      <c r="I93" s="10" t="s">
        <v>250</v>
      </c>
    </row>
    <row r="94" customFormat="false" ht="15" hidden="false" customHeight="false" outlineLevel="0" collapsed="false">
      <c r="A94" s="4"/>
      <c r="B94" s="4"/>
      <c r="C94" s="4"/>
      <c r="D94" s="7" t="s">
        <v>251</v>
      </c>
      <c r="E94" s="8" t="n">
        <v>0</v>
      </c>
      <c r="F94" s="9" t="n">
        <v>1</v>
      </c>
      <c r="G94" s="8" t="n">
        <v>0</v>
      </c>
      <c r="H94" s="9" t="n">
        <v>1</v>
      </c>
      <c r="I94" s="10" t="s">
        <v>252</v>
      </c>
    </row>
    <row r="95" customFormat="false" ht="15" hidden="false" customHeight="true" outlineLevel="0" collapsed="false">
      <c r="A95" s="4" t="s">
        <v>253</v>
      </c>
      <c r="B95" s="14" t="s">
        <v>7</v>
      </c>
      <c r="C95" s="15" t="s">
        <v>254</v>
      </c>
      <c r="D95" s="7" t="s">
        <v>255</v>
      </c>
      <c r="E95" s="8" t="n">
        <v>0</v>
      </c>
      <c r="F95" s="9" t="n">
        <v>1</v>
      </c>
      <c r="G95" s="8" t="n">
        <v>0</v>
      </c>
      <c r="H95" s="8" t="n">
        <v>0</v>
      </c>
      <c r="I95" s="10" t="s">
        <v>256</v>
      </c>
    </row>
    <row r="96" customFormat="false" ht="15" hidden="false" customHeight="false" outlineLevel="0" collapsed="false">
      <c r="A96" s="4"/>
      <c r="B96" s="4"/>
      <c r="C96" s="4"/>
      <c r="D96" s="7" t="s">
        <v>257</v>
      </c>
      <c r="E96" s="8" t="n">
        <v>0</v>
      </c>
      <c r="F96" s="11" t="n">
        <v>-1</v>
      </c>
      <c r="G96" s="11" t="n">
        <v>-1</v>
      </c>
      <c r="H96" s="8" t="n">
        <v>0</v>
      </c>
      <c r="I96" s="10" t="s">
        <v>258</v>
      </c>
    </row>
    <row r="97" customFormat="false" ht="15" hidden="false" customHeight="false" outlineLevel="0" collapsed="false">
      <c r="A97" s="4"/>
      <c r="B97" s="4"/>
      <c r="C97" s="4"/>
      <c r="D97" s="7" t="s">
        <v>259</v>
      </c>
      <c r="E97" s="8" t="n">
        <v>0</v>
      </c>
      <c r="F97" s="9" t="n">
        <v>1</v>
      </c>
      <c r="G97" s="9" t="n">
        <v>1</v>
      </c>
      <c r="H97" s="8" t="n">
        <v>0</v>
      </c>
      <c r="I97" s="10" t="s">
        <v>260</v>
      </c>
    </row>
    <row r="98" customFormat="false" ht="15" hidden="false" customHeight="true" outlineLevel="0" collapsed="false">
      <c r="A98" s="4" t="s">
        <v>261</v>
      </c>
      <c r="B98" s="14" t="s">
        <v>7</v>
      </c>
      <c r="C98" s="15" t="s">
        <v>262</v>
      </c>
      <c r="D98" s="7" t="s">
        <v>263</v>
      </c>
      <c r="E98" s="8" t="n">
        <v>0</v>
      </c>
      <c r="F98" s="9" t="n">
        <v>2</v>
      </c>
      <c r="G98" s="9" t="n">
        <v>2</v>
      </c>
      <c r="H98" s="9" t="n">
        <v>1</v>
      </c>
      <c r="I98" s="10" t="s">
        <v>264</v>
      </c>
    </row>
    <row r="99" customFormat="false" ht="15" hidden="false" customHeight="false" outlineLevel="0" collapsed="false">
      <c r="A99" s="4"/>
      <c r="B99" s="4"/>
      <c r="C99" s="4"/>
      <c r="D99" s="7" t="s">
        <v>249</v>
      </c>
      <c r="E99" s="8" t="n">
        <v>0</v>
      </c>
      <c r="F99" s="11" t="n">
        <v>-2</v>
      </c>
      <c r="G99" s="11" t="n">
        <v>-2</v>
      </c>
      <c r="H99" s="8" t="n">
        <v>0</v>
      </c>
      <c r="I99" s="10" t="s">
        <v>265</v>
      </c>
    </row>
    <row r="100" customFormat="false" ht="15" hidden="false" customHeight="false" outlineLevel="0" collapsed="false">
      <c r="A100" s="4"/>
      <c r="B100" s="4"/>
      <c r="C100" s="4"/>
      <c r="D100" s="7" t="s">
        <v>266</v>
      </c>
      <c r="E100" s="8" t="n">
        <v>0</v>
      </c>
      <c r="F100" s="9" t="n">
        <v>1</v>
      </c>
      <c r="G100" s="9" t="n">
        <v>1</v>
      </c>
      <c r="H100" s="8" t="n">
        <v>0</v>
      </c>
      <c r="I100" s="10" t="s">
        <v>267</v>
      </c>
    </row>
    <row r="101" customFormat="false" ht="15" hidden="false" customHeight="true" outlineLevel="0" collapsed="false">
      <c r="A101" s="4" t="s">
        <v>268</v>
      </c>
      <c r="B101" s="14" t="s">
        <v>7</v>
      </c>
      <c r="C101" s="15" t="s">
        <v>269</v>
      </c>
      <c r="D101" s="7" t="s">
        <v>270</v>
      </c>
      <c r="E101" s="8" t="n">
        <v>0</v>
      </c>
      <c r="F101" s="11" t="n">
        <v>-1</v>
      </c>
      <c r="G101" s="8" t="n">
        <v>0</v>
      </c>
      <c r="H101" s="9" t="n">
        <v>1</v>
      </c>
      <c r="I101" s="10" t="s">
        <v>271</v>
      </c>
    </row>
    <row r="102" customFormat="false" ht="15" hidden="false" customHeight="false" outlineLevel="0" collapsed="false">
      <c r="A102" s="4"/>
      <c r="B102" s="4"/>
      <c r="C102" s="4"/>
      <c r="D102" s="7" t="s">
        <v>272</v>
      </c>
      <c r="E102" s="9" t="n">
        <v>1</v>
      </c>
      <c r="F102" s="8" t="n">
        <v>0</v>
      </c>
      <c r="G102" s="8" t="n">
        <v>0</v>
      </c>
      <c r="H102" s="9" t="n">
        <v>1</v>
      </c>
      <c r="I102" s="10" t="s">
        <v>273</v>
      </c>
    </row>
    <row r="103" customFormat="false" ht="15" hidden="false" customHeight="false" outlineLevel="0" collapsed="false">
      <c r="A103" s="4"/>
      <c r="B103" s="4"/>
      <c r="C103" s="4"/>
      <c r="D103" s="7" t="s">
        <v>274</v>
      </c>
      <c r="E103" s="8" t="n">
        <v>0</v>
      </c>
      <c r="F103" s="11" t="n">
        <v>-2</v>
      </c>
      <c r="G103" s="9" t="n">
        <v>1</v>
      </c>
      <c r="H103" s="8" t="n">
        <v>0</v>
      </c>
      <c r="I103" s="10" t="s">
        <v>275</v>
      </c>
    </row>
    <row r="104" customFormat="false" ht="15" hidden="false" customHeight="true" outlineLevel="0" collapsed="false">
      <c r="A104" s="4" t="s">
        <v>276</v>
      </c>
      <c r="B104" s="14" t="s">
        <v>7</v>
      </c>
      <c r="C104" s="15" t="s">
        <v>277</v>
      </c>
      <c r="D104" s="7" t="s">
        <v>278</v>
      </c>
      <c r="E104" s="8" t="n">
        <v>0</v>
      </c>
      <c r="F104" s="8" t="n">
        <v>0</v>
      </c>
      <c r="G104" s="11" t="n">
        <v>-2</v>
      </c>
      <c r="H104" s="11" t="n">
        <v>-2</v>
      </c>
      <c r="I104" s="10" t="s">
        <v>279</v>
      </c>
    </row>
    <row r="105" customFormat="false" ht="15" hidden="false" customHeight="false" outlineLevel="0" collapsed="false">
      <c r="A105" s="4"/>
      <c r="B105" s="4"/>
      <c r="C105" s="4"/>
      <c r="D105" s="7" t="s">
        <v>280</v>
      </c>
      <c r="E105" s="8" t="n">
        <v>0</v>
      </c>
      <c r="F105" s="9" t="n">
        <v>1</v>
      </c>
      <c r="G105" s="9" t="n">
        <v>2</v>
      </c>
      <c r="H105" s="9" t="n">
        <v>2</v>
      </c>
      <c r="I105" s="10" t="s">
        <v>281</v>
      </c>
    </row>
    <row r="106" customFormat="false" ht="15" hidden="false" customHeight="false" outlineLevel="0" collapsed="false">
      <c r="A106" s="4"/>
      <c r="B106" s="4"/>
      <c r="C106" s="4"/>
      <c r="D106" s="7" t="s">
        <v>282</v>
      </c>
      <c r="E106" s="8" t="n">
        <v>0</v>
      </c>
      <c r="F106" s="8" t="n">
        <v>0</v>
      </c>
      <c r="G106" s="8" t="n">
        <v>0</v>
      </c>
      <c r="H106" s="8" t="n">
        <v>0</v>
      </c>
      <c r="I106" s="10" t="s">
        <v>283</v>
      </c>
    </row>
    <row r="107" customFormat="false" ht="15" hidden="false" customHeight="true" outlineLevel="0" collapsed="false">
      <c r="A107" s="4" t="s">
        <v>284</v>
      </c>
      <c r="B107" s="14" t="s">
        <v>7</v>
      </c>
      <c r="C107" s="15" t="s">
        <v>285</v>
      </c>
      <c r="D107" s="7" t="s">
        <v>286</v>
      </c>
      <c r="E107" s="8" t="n">
        <v>0</v>
      </c>
      <c r="F107" s="9" t="n">
        <v>2</v>
      </c>
      <c r="G107" s="11" t="n">
        <v>-1</v>
      </c>
      <c r="H107" s="8" t="n">
        <v>0</v>
      </c>
      <c r="I107" s="10" t="s">
        <v>287</v>
      </c>
    </row>
    <row r="108" customFormat="false" ht="15" hidden="false" customHeight="false" outlineLevel="0" collapsed="false">
      <c r="A108" s="4"/>
      <c r="B108" s="4"/>
      <c r="C108" s="4"/>
      <c r="D108" s="7" t="s">
        <v>288</v>
      </c>
      <c r="E108" s="8" t="n">
        <v>0</v>
      </c>
      <c r="F108" s="11" t="n">
        <v>-2</v>
      </c>
      <c r="G108" s="9" t="n">
        <v>2</v>
      </c>
      <c r="H108" s="8" t="n">
        <v>0</v>
      </c>
      <c r="I108" s="10" t="s">
        <v>289</v>
      </c>
    </row>
    <row r="109" customFormat="false" ht="15" hidden="false" customHeight="false" outlineLevel="0" collapsed="false">
      <c r="A109" s="4"/>
      <c r="B109" s="4"/>
      <c r="C109" s="4"/>
      <c r="D109" s="7" t="s">
        <v>290</v>
      </c>
      <c r="E109" s="8" t="n">
        <v>0</v>
      </c>
      <c r="F109" s="9" t="n">
        <v>1</v>
      </c>
      <c r="G109" s="8" t="n">
        <v>0</v>
      </c>
      <c r="H109" s="8" t="n">
        <v>0</v>
      </c>
      <c r="I109" s="10" t="s">
        <v>291</v>
      </c>
    </row>
    <row r="110" customFormat="false" ht="15" hidden="false" customHeight="true" outlineLevel="0" collapsed="false">
      <c r="A110" s="4" t="s">
        <v>292</v>
      </c>
      <c r="B110" s="14" t="s">
        <v>7</v>
      </c>
      <c r="C110" s="15" t="s">
        <v>293</v>
      </c>
      <c r="D110" s="7" t="s">
        <v>294</v>
      </c>
      <c r="E110" s="11" t="n">
        <v>-1</v>
      </c>
      <c r="F110" s="9" t="n">
        <v>2</v>
      </c>
      <c r="G110" s="8" t="n">
        <v>0</v>
      </c>
      <c r="H110" s="9" t="n">
        <v>2</v>
      </c>
      <c r="I110" s="10" t="s">
        <v>295</v>
      </c>
    </row>
    <row r="111" customFormat="false" ht="15" hidden="false" customHeight="false" outlineLevel="0" collapsed="false">
      <c r="A111" s="4"/>
      <c r="B111" s="4"/>
      <c r="C111" s="4"/>
      <c r="D111" s="7" t="s">
        <v>296</v>
      </c>
      <c r="E111" s="9" t="n">
        <v>1</v>
      </c>
      <c r="F111" s="11" t="n">
        <v>-2</v>
      </c>
      <c r="G111" s="8" t="n">
        <v>0</v>
      </c>
      <c r="H111" s="11" t="n">
        <v>-1</v>
      </c>
      <c r="I111" s="10" t="s">
        <v>297</v>
      </c>
    </row>
    <row r="112" customFormat="false" ht="15" hidden="false" customHeight="false" outlineLevel="0" collapsed="false">
      <c r="A112" s="4"/>
      <c r="B112" s="4"/>
      <c r="C112" s="4"/>
      <c r="D112" s="7" t="s">
        <v>298</v>
      </c>
      <c r="E112" s="8" t="n">
        <v>0</v>
      </c>
      <c r="F112" s="9" t="n">
        <v>1</v>
      </c>
      <c r="G112" s="8" t="n">
        <v>0</v>
      </c>
      <c r="H112" s="9" t="n">
        <v>1</v>
      </c>
      <c r="I112" s="10" t="s">
        <v>299</v>
      </c>
    </row>
    <row r="113" customFormat="false" ht="15" hidden="false" customHeight="true" outlineLevel="0" collapsed="false">
      <c r="A113" s="4" t="s">
        <v>300</v>
      </c>
      <c r="B113" s="14" t="s">
        <v>7</v>
      </c>
      <c r="C113" s="15" t="s">
        <v>301</v>
      </c>
      <c r="D113" s="7" t="s">
        <v>302</v>
      </c>
      <c r="E113" s="8" t="n">
        <v>0</v>
      </c>
      <c r="F113" s="11" t="n">
        <v>-2</v>
      </c>
      <c r="G113" s="8" t="n">
        <v>0</v>
      </c>
      <c r="H113" s="9" t="n">
        <v>3</v>
      </c>
      <c r="I113" s="10" t="s">
        <v>303</v>
      </c>
    </row>
    <row r="114" customFormat="false" ht="15" hidden="false" customHeight="false" outlineLevel="0" collapsed="false">
      <c r="A114" s="4"/>
      <c r="B114" s="4"/>
      <c r="C114" s="4"/>
      <c r="D114" s="7" t="s">
        <v>304</v>
      </c>
      <c r="E114" s="8" t="n">
        <v>0</v>
      </c>
      <c r="F114" s="9" t="n">
        <v>1</v>
      </c>
      <c r="G114" s="8" t="n">
        <v>0</v>
      </c>
      <c r="H114" s="11" t="n">
        <v>-2</v>
      </c>
      <c r="I114" s="10" t="s">
        <v>305</v>
      </c>
    </row>
    <row r="115" customFormat="false" ht="15" hidden="false" customHeight="false" outlineLevel="0" collapsed="false">
      <c r="A115" s="4"/>
      <c r="B115" s="4"/>
      <c r="C115" s="4"/>
      <c r="D115" s="7" t="s">
        <v>306</v>
      </c>
      <c r="E115" s="8" t="n">
        <v>0</v>
      </c>
      <c r="F115" s="8" t="n">
        <v>0</v>
      </c>
      <c r="G115" s="8" t="n">
        <v>0</v>
      </c>
      <c r="H115" s="9" t="n">
        <v>2</v>
      </c>
      <c r="I115" s="10" t="s">
        <v>307</v>
      </c>
    </row>
    <row r="116" customFormat="false" ht="15" hidden="false" customHeight="true" outlineLevel="0" collapsed="false">
      <c r="A116" s="4" t="s">
        <v>308</v>
      </c>
      <c r="B116" s="14" t="s">
        <v>7</v>
      </c>
      <c r="C116" s="15" t="s">
        <v>309</v>
      </c>
      <c r="D116" s="7" t="s">
        <v>310</v>
      </c>
      <c r="E116" s="8" t="n">
        <v>0</v>
      </c>
      <c r="F116" s="9" t="n">
        <v>1</v>
      </c>
      <c r="G116" s="9" t="n">
        <v>1</v>
      </c>
      <c r="H116" s="9" t="n">
        <v>1</v>
      </c>
      <c r="I116" s="10" t="s">
        <v>311</v>
      </c>
    </row>
    <row r="117" customFormat="false" ht="15" hidden="false" customHeight="false" outlineLevel="0" collapsed="false">
      <c r="A117" s="4"/>
      <c r="B117" s="4"/>
      <c r="C117" s="4"/>
      <c r="D117" s="7" t="s">
        <v>312</v>
      </c>
      <c r="E117" s="8" t="n">
        <v>0</v>
      </c>
      <c r="F117" s="8" t="n">
        <v>0</v>
      </c>
      <c r="G117" s="8" t="n">
        <v>0</v>
      </c>
      <c r="H117" s="11" t="n">
        <v>-1</v>
      </c>
      <c r="I117" s="10" t="s">
        <v>313</v>
      </c>
    </row>
    <row r="118" customFormat="false" ht="15" hidden="false" customHeight="false" outlineLevel="0" collapsed="false">
      <c r="A118" s="4"/>
      <c r="B118" s="4"/>
      <c r="C118" s="4"/>
      <c r="D118" s="7" t="s">
        <v>314</v>
      </c>
      <c r="E118" s="8" t="n">
        <v>0</v>
      </c>
      <c r="F118" s="8" t="n">
        <v>0</v>
      </c>
      <c r="G118" s="8" t="n">
        <v>0</v>
      </c>
      <c r="H118" s="8" t="n">
        <v>0</v>
      </c>
      <c r="I118" s="10" t="s">
        <v>315</v>
      </c>
    </row>
    <row r="119" customFormat="false" ht="15" hidden="false" customHeight="true" outlineLevel="0" collapsed="false">
      <c r="A119" s="4" t="s">
        <v>316</v>
      </c>
      <c r="B119" s="16" t="s">
        <v>317</v>
      </c>
      <c r="C119" s="17" t="s">
        <v>318</v>
      </c>
      <c r="D119" s="7" t="s">
        <v>319</v>
      </c>
      <c r="E119" s="8" t="n">
        <v>0</v>
      </c>
      <c r="F119" s="8" t="n">
        <v>0</v>
      </c>
      <c r="G119" s="11" t="n">
        <v>-1</v>
      </c>
      <c r="H119" s="9" t="n">
        <v>2</v>
      </c>
      <c r="I119" s="10" t="s">
        <v>320</v>
      </c>
    </row>
    <row r="120" customFormat="false" ht="15" hidden="false" customHeight="false" outlineLevel="0" collapsed="false">
      <c r="A120" s="4"/>
      <c r="B120" s="4"/>
      <c r="C120" s="4"/>
      <c r="D120" s="7" t="s">
        <v>321</v>
      </c>
      <c r="E120" s="8" t="n">
        <v>0</v>
      </c>
      <c r="F120" s="8" t="n">
        <v>0</v>
      </c>
      <c r="G120" s="9" t="n">
        <v>1</v>
      </c>
      <c r="H120" s="11" t="n">
        <v>-1</v>
      </c>
      <c r="I120" s="10" t="s">
        <v>322</v>
      </c>
    </row>
    <row r="121" customFormat="false" ht="15" hidden="false" customHeight="false" outlineLevel="0" collapsed="false">
      <c r="A121" s="4"/>
      <c r="B121" s="4"/>
      <c r="C121" s="4"/>
      <c r="D121" s="7" t="s">
        <v>323</v>
      </c>
      <c r="E121" s="8" t="n">
        <v>0</v>
      </c>
      <c r="F121" s="11" t="n">
        <v>-1</v>
      </c>
      <c r="G121" s="9" t="n">
        <v>1</v>
      </c>
      <c r="H121" s="9" t="n">
        <v>1</v>
      </c>
      <c r="I121" s="10" t="s">
        <v>324</v>
      </c>
    </row>
    <row r="122" customFormat="false" ht="15" hidden="false" customHeight="true" outlineLevel="0" collapsed="false">
      <c r="A122" s="4" t="s">
        <v>325</v>
      </c>
      <c r="B122" s="16" t="s">
        <v>317</v>
      </c>
      <c r="C122" s="17" t="s">
        <v>326</v>
      </c>
      <c r="D122" s="7" t="s">
        <v>327</v>
      </c>
      <c r="E122" s="8" t="n">
        <v>0</v>
      </c>
      <c r="F122" s="8" t="n">
        <v>0</v>
      </c>
      <c r="G122" s="8" t="n">
        <v>0</v>
      </c>
      <c r="H122" s="11" t="n">
        <v>-1</v>
      </c>
      <c r="I122" s="10" t="s">
        <v>328</v>
      </c>
    </row>
    <row r="123" customFormat="false" ht="15" hidden="false" customHeight="false" outlineLevel="0" collapsed="false">
      <c r="A123" s="4"/>
      <c r="B123" s="4"/>
      <c r="C123" s="4"/>
      <c r="D123" s="7" t="s">
        <v>329</v>
      </c>
      <c r="E123" s="9" t="n">
        <v>1</v>
      </c>
      <c r="F123" s="8" t="n">
        <v>0</v>
      </c>
      <c r="G123" s="8" t="n">
        <v>0</v>
      </c>
      <c r="H123" s="9" t="n">
        <v>1</v>
      </c>
      <c r="I123" s="10" t="s">
        <v>330</v>
      </c>
    </row>
    <row r="124" customFormat="false" ht="15" hidden="false" customHeight="false" outlineLevel="0" collapsed="false">
      <c r="A124" s="4"/>
      <c r="B124" s="4"/>
      <c r="C124" s="4"/>
      <c r="D124" s="7" t="s">
        <v>331</v>
      </c>
      <c r="E124" s="8" t="n">
        <v>0</v>
      </c>
      <c r="F124" s="8" t="n">
        <v>0</v>
      </c>
      <c r="G124" s="8" t="n">
        <v>0</v>
      </c>
      <c r="H124" s="11" t="n">
        <v>-1</v>
      </c>
      <c r="I124" s="10" t="s">
        <v>332</v>
      </c>
    </row>
    <row r="125" customFormat="false" ht="15" hidden="false" customHeight="true" outlineLevel="0" collapsed="false">
      <c r="A125" s="4" t="s">
        <v>333</v>
      </c>
      <c r="B125" s="16" t="s">
        <v>317</v>
      </c>
      <c r="C125" s="17" t="s">
        <v>334</v>
      </c>
      <c r="D125" s="7" t="s">
        <v>335</v>
      </c>
      <c r="E125" s="8" t="n">
        <v>0</v>
      </c>
      <c r="F125" s="11" t="n">
        <v>-1</v>
      </c>
      <c r="G125" s="9" t="n">
        <v>1</v>
      </c>
      <c r="H125" s="9" t="n">
        <v>1</v>
      </c>
      <c r="I125" s="10" t="s">
        <v>336</v>
      </c>
    </row>
    <row r="126" customFormat="false" ht="15" hidden="false" customHeight="false" outlineLevel="0" collapsed="false">
      <c r="A126" s="4"/>
      <c r="B126" s="4"/>
      <c r="C126" s="4"/>
      <c r="D126" s="7" t="s">
        <v>337</v>
      </c>
      <c r="E126" s="8" t="n">
        <v>0</v>
      </c>
      <c r="F126" s="9" t="n">
        <v>1</v>
      </c>
      <c r="G126" s="11" t="n">
        <v>-1</v>
      </c>
      <c r="H126" s="8" t="n">
        <v>0</v>
      </c>
      <c r="I126" s="10" t="s">
        <v>338</v>
      </c>
    </row>
    <row r="127" customFormat="false" ht="15" hidden="false" customHeight="false" outlineLevel="0" collapsed="false">
      <c r="A127" s="4"/>
      <c r="B127" s="4"/>
      <c r="C127" s="4"/>
      <c r="D127" s="7" t="s">
        <v>339</v>
      </c>
      <c r="E127" s="9" t="n">
        <v>1</v>
      </c>
      <c r="F127" s="9" t="n">
        <v>1</v>
      </c>
      <c r="G127" s="9" t="n">
        <v>1</v>
      </c>
      <c r="H127" s="9" t="n">
        <v>1</v>
      </c>
      <c r="I127" s="10" t="s">
        <v>340</v>
      </c>
    </row>
    <row r="128" customFormat="false" ht="15" hidden="false" customHeight="true" outlineLevel="0" collapsed="false">
      <c r="A128" s="4" t="s">
        <v>341</v>
      </c>
      <c r="B128" s="16" t="s">
        <v>317</v>
      </c>
      <c r="C128" s="17" t="s">
        <v>342</v>
      </c>
      <c r="D128" s="7" t="s">
        <v>343</v>
      </c>
      <c r="E128" s="8" t="n">
        <v>0</v>
      </c>
      <c r="F128" s="8" t="n">
        <v>0</v>
      </c>
      <c r="G128" s="9" t="n">
        <v>1</v>
      </c>
      <c r="H128" s="11" t="n">
        <v>-1</v>
      </c>
      <c r="I128" s="10" t="s">
        <v>344</v>
      </c>
    </row>
    <row r="129" customFormat="false" ht="15" hidden="false" customHeight="false" outlineLevel="0" collapsed="false">
      <c r="A129" s="4"/>
      <c r="B129" s="4"/>
      <c r="C129" s="4"/>
      <c r="D129" s="7" t="s">
        <v>345</v>
      </c>
      <c r="E129" s="8" t="n">
        <v>0</v>
      </c>
      <c r="F129" s="8" t="n">
        <v>0</v>
      </c>
      <c r="G129" s="11" t="n">
        <v>-2</v>
      </c>
      <c r="H129" s="9" t="n">
        <v>2</v>
      </c>
      <c r="I129" s="10" t="s">
        <v>346</v>
      </c>
    </row>
    <row r="130" customFormat="false" ht="15" hidden="false" customHeight="false" outlineLevel="0" collapsed="false">
      <c r="A130" s="4"/>
      <c r="B130" s="4"/>
      <c r="C130" s="4"/>
      <c r="D130" s="7" t="s">
        <v>347</v>
      </c>
      <c r="E130" s="8" t="n">
        <v>0</v>
      </c>
      <c r="F130" s="8" t="n">
        <v>0</v>
      </c>
      <c r="G130" s="11" t="n">
        <v>-1</v>
      </c>
      <c r="H130" s="8" t="n">
        <v>0</v>
      </c>
      <c r="I130" s="10" t="s">
        <v>348</v>
      </c>
    </row>
    <row r="131" customFormat="false" ht="15" hidden="false" customHeight="true" outlineLevel="0" collapsed="false">
      <c r="A131" s="4" t="s">
        <v>349</v>
      </c>
      <c r="B131" s="16" t="s">
        <v>317</v>
      </c>
      <c r="C131" s="17" t="s">
        <v>350</v>
      </c>
      <c r="D131" s="7" t="s">
        <v>351</v>
      </c>
      <c r="E131" s="8" t="n">
        <v>0</v>
      </c>
      <c r="F131" s="9" t="n">
        <v>1</v>
      </c>
      <c r="G131" s="9" t="n">
        <v>1</v>
      </c>
      <c r="H131" s="9" t="n">
        <v>2</v>
      </c>
      <c r="I131" s="10" t="s">
        <v>352</v>
      </c>
    </row>
    <row r="132" customFormat="false" ht="15" hidden="false" customHeight="false" outlineLevel="0" collapsed="false">
      <c r="A132" s="4"/>
      <c r="B132" s="4"/>
      <c r="C132" s="4"/>
      <c r="D132" s="7" t="s">
        <v>353</v>
      </c>
      <c r="E132" s="8" t="n">
        <v>0</v>
      </c>
      <c r="F132" s="8" t="n">
        <v>0</v>
      </c>
      <c r="G132" s="11" t="n">
        <v>-1</v>
      </c>
      <c r="H132" s="8" t="n">
        <v>0</v>
      </c>
      <c r="I132" s="10" t="s">
        <v>354</v>
      </c>
    </row>
    <row r="133" customFormat="false" ht="15" hidden="false" customHeight="false" outlineLevel="0" collapsed="false">
      <c r="A133" s="4"/>
      <c r="B133" s="4"/>
      <c r="C133" s="4"/>
      <c r="D133" s="7" t="s">
        <v>355</v>
      </c>
      <c r="E133" s="8" t="n">
        <v>0</v>
      </c>
      <c r="F133" s="11" t="n">
        <v>-1</v>
      </c>
      <c r="G133" s="8" t="n">
        <v>0</v>
      </c>
      <c r="H133" s="8" t="n">
        <v>0</v>
      </c>
      <c r="I133" s="10" t="s">
        <v>356</v>
      </c>
    </row>
    <row r="134" customFormat="false" ht="15" hidden="false" customHeight="true" outlineLevel="0" collapsed="false">
      <c r="A134" s="4" t="s">
        <v>357</v>
      </c>
      <c r="B134" s="16" t="s">
        <v>317</v>
      </c>
      <c r="C134" s="17" t="s">
        <v>358</v>
      </c>
      <c r="D134" s="7" t="s">
        <v>359</v>
      </c>
      <c r="E134" s="8" t="n">
        <v>0</v>
      </c>
      <c r="F134" s="9" t="n">
        <v>1</v>
      </c>
      <c r="G134" s="9" t="n">
        <v>1</v>
      </c>
      <c r="H134" s="9" t="n">
        <v>1</v>
      </c>
      <c r="I134" s="10" t="s">
        <v>360</v>
      </c>
    </row>
    <row r="135" customFormat="false" ht="15" hidden="false" customHeight="false" outlineLevel="0" collapsed="false">
      <c r="A135" s="4"/>
      <c r="B135" s="4"/>
      <c r="C135" s="4"/>
      <c r="D135" s="7" t="s">
        <v>361</v>
      </c>
      <c r="E135" s="8" t="n">
        <v>0</v>
      </c>
      <c r="F135" s="11" t="n">
        <v>-1</v>
      </c>
      <c r="G135" s="11" t="n">
        <v>-1</v>
      </c>
      <c r="H135" s="11" t="n">
        <v>-1</v>
      </c>
      <c r="I135" s="10" t="s">
        <v>362</v>
      </c>
    </row>
    <row r="136" customFormat="false" ht="15" hidden="false" customHeight="false" outlineLevel="0" collapsed="false">
      <c r="A136" s="4"/>
      <c r="B136" s="4"/>
      <c r="C136" s="4"/>
      <c r="D136" s="7" t="s">
        <v>363</v>
      </c>
      <c r="E136" s="8" t="n">
        <v>0</v>
      </c>
      <c r="F136" s="8" t="n">
        <v>0</v>
      </c>
      <c r="G136" s="8" t="n">
        <v>0</v>
      </c>
      <c r="H136" s="8" t="n">
        <v>0</v>
      </c>
      <c r="I136" s="10" t="s">
        <v>364</v>
      </c>
    </row>
    <row r="137" customFormat="false" ht="15" hidden="false" customHeight="true" outlineLevel="0" collapsed="false">
      <c r="A137" s="4" t="s">
        <v>365</v>
      </c>
      <c r="B137" s="16" t="s">
        <v>317</v>
      </c>
      <c r="C137" s="17" t="s">
        <v>366</v>
      </c>
      <c r="D137" s="7" t="s">
        <v>367</v>
      </c>
      <c r="E137" s="8" t="n">
        <v>0</v>
      </c>
      <c r="F137" s="11" t="n">
        <v>-1</v>
      </c>
      <c r="G137" s="9" t="n">
        <v>1</v>
      </c>
      <c r="H137" s="9" t="n">
        <v>1</v>
      </c>
      <c r="I137" s="10" t="s">
        <v>368</v>
      </c>
    </row>
    <row r="138" customFormat="false" ht="15" hidden="false" customHeight="false" outlineLevel="0" collapsed="false">
      <c r="A138" s="4"/>
      <c r="B138" s="4"/>
      <c r="C138" s="4"/>
      <c r="D138" s="7" t="s">
        <v>369</v>
      </c>
      <c r="E138" s="9" t="n">
        <v>1</v>
      </c>
      <c r="F138" s="9" t="n">
        <v>1</v>
      </c>
      <c r="G138" s="11" t="n">
        <v>-1</v>
      </c>
      <c r="H138" s="8" t="n">
        <v>0</v>
      </c>
      <c r="I138" s="10" t="s">
        <v>370</v>
      </c>
    </row>
    <row r="139" customFormat="false" ht="15" hidden="false" customHeight="false" outlineLevel="0" collapsed="false">
      <c r="A139" s="4"/>
      <c r="B139" s="4"/>
      <c r="C139" s="4"/>
      <c r="D139" s="7" t="s">
        <v>371</v>
      </c>
      <c r="E139" s="8" t="n">
        <v>0</v>
      </c>
      <c r="F139" s="8" t="n">
        <v>0</v>
      </c>
      <c r="G139" s="8" t="n">
        <v>0</v>
      </c>
      <c r="H139" s="8" t="n">
        <v>0</v>
      </c>
      <c r="I139" s="10" t="s">
        <v>372</v>
      </c>
    </row>
    <row r="140" customFormat="false" ht="15" hidden="false" customHeight="true" outlineLevel="0" collapsed="false">
      <c r="A140" s="4" t="s">
        <v>373</v>
      </c>
      <c r="B140" s="16" t="s">
        <v>317</v>
      </c>
      <c r="C140" s="17" t="s">
        <v>374</v>
      </c>
      <c r="D140" s="7" t="s">
        <v>375</v>
      </c>
      <c r="E140" s="8" t="n">
        <v>0</v>
      </c>
      <c r="F140" s="9" t="n">
        <v>1</v>
      </c>
      <c r="G140" s="9" t="n">
        <v>1</v>
      </c>
      <c r="H140" s="11" t="n">
        <v>-2</v>
      </c>
      <c r="I140" s="10" t="s">
        <v>376</v>
      </c>
    </row>
    <row r="141" customFormat="false" ht="15" hidden="false" customHeight="false" outlineLevel="0" collapsed="false">
      <c r="A141" s="4"/>
      <c r="B141" s="4"/>
      <c r="C141" s="4"/>
      <c r="D141" s="7" t="s">
        <v>377</v>
      </c>
      <c r="E141" s="8" t="n">
        <v>0</v>
      </c>
      <c r="F141" s="8" t="n">
        <v>0</v>
      </c>
      <c r="G141" s="8" t="n">
        <v>0</v>
      </c>
      <c r="H141" s="9" t="n">
        <v>1</v>
      </c>
      <c r="I141" s="10" t="s">
        <v>378</v>
      </c>
    </row>
    <row r="142" customFormat="false" ht="15" hidden="false" customHeight="false" outlineLevel="0" collapsed="false">
      <c r="A142" s="4"/>
      <c r="B142" s="4"/>
      <c r="C142" s="4"/>
      <c r="D142" s="7" t="s">
        <v>379</v>
      </c>
      <c r="E142" s="8" t="n">
        <v>0</v>
      </c>
      <c r="F142" s="11" t="n">
        <v>-1</v>
      </c>
      <c r="G142" s="8" t="n">
        <v>0</v>
      </c>
      <c r="H142" s="9" t="n">
        <v>1</v>
      </c>
      <c r="I142" s="10" t="s">
        <v>380</v>
      </c>
    </row>
    <row r="143" customFormat="false" ht="15" hidden="false" customHeight="true" outlineLevel="0" collapsed="false">
      <c r="A143" s="4" t="s">
        <v>381</v>
      </c>
      <c r="B143" s="16" t="s">
        <v>317</v>
      </c>
      <c r="C143" s="17" t="s">
        <v>382</v>
      </c>
      <c r="D143" s="7" t="s">
        <v>383</v>
      </c>
      <c r="E143" s="9" t="n">
        <v>1</v>
      </c>
      <c r="F143" s="8" t="n">
        <v>0</v>
      </c>
      <c r="G143" s="8" t="n">
        <v>0</v>
      </c>
      <c r="H143" s="11" t="n">
        <v>-1</v>
      </c>
      <c r="I143" s="10" t="s">
        <v>384</v>
      </c>
    </row>
    <row r="144" customFormat="false" ht="15" hidden="false" customHeight="false" outlineLevel="0" collapsed="false">
      <c r="A144" s="4"/>
      <c r="B144" s="4"/>
      <c r="C144" s="4"/>
      <c r="D144" s="7" t="s">
        <v>385</v>
      </c>
      <c r="E144" s="8" t="n">
        <v>0</v>
      </c>
      <c r="F144" s="9" t="n">
        <v>1</v>
      </c>
      <c r="G144" s="8" t="n">
        <v>0</v>
      </c>
      <c r="H144" s="9" t="n">
        <v>1</v>
      </c>
      <c r="I144" s="10" t="s">
        <v>386</v>
      </c>
    </row>
    <row r="145" customFormat="false" ht="15" hidden="false" customHeight="false" outlineLevel="0" collapsed="false">
      <c r="A145" s="4"/>
      <c r="B145" s="4"/>
      <c r="C145" s="4"/>
      <c r="D145" s="7" t="s">
        <v>387</v>
      </c>
      <c r="E145" s="8" t="n">
        <v>0</v>
      </c>
      <c r="F145" s="8" t="n">
        <v>0</v>
      </c>
      <c r="G145" s="9" t="n">
        <v>2</v>
      </c>
      <c r="H145" s="8" t="n">
        <v>0</v>
      </c>
      <c r="I145" s="10" t="s">
        <v>388</v>
      </c>
    </row>
    <row r="146" customFormat="false" ht="15" hidden="false" customHeight="true" outlineLevel="0" collapsed="false">
      <c r="A146" s="4" t="s">
        <v>389</v>
      </c>
      <c r="B146" s="16" t="s">
        <v>317</v>
      </c>
      <c r="C146" s="17" t="s">
        <v>390</v>
      </c>
      <c r="D146" s="7" t="s">
        <v>391</v>
      </c>
      <c r="E146" s="8" t="n">
        <v>0</v>
      </c>
      <c r="F146" s="11" t="n">
        <v>-1</v>
      </c>
      <c r="G146" s="9" t="n">
        <v>2</v>
      </c>
      <c r="H146" s="8" t="n">
        <v>0</v>
      </c>
      <c r="I146" s="10" t="s">
        <v>392</v>
      </c>
    </row>
    <row r="147" customFormat="false" ht="15" hidden="false" customHeight="false" outlineLevel="0" collapsed="false">
      <c r="A147" s="4"/>
      <c r="B147" s="4"/>
      <c r="C147" s="4"/>
      <c r="D147" s="7" t="s">
        <v>249</v>
      </c>
      <c r="E147" s="8" t="n">
        <v>0</v>
      </c>
      <c r="F147" s="9" t="n">
        <v>1</v>
      </c>
      <c r="G147" s="11" t="n">
        <v>-2</v>
      </c>
      <c r="H147" s="8" t="n">
        <v>0</v>
      </c>
      <c r="I147" s="10" t="s">
        <v>393</v>
      </c>
    </row>
    <row r="148" customFormat="false" ht="15" hidden="false" customHeight="false" outlineLevel="0" collapsed="false">
      <c r="A148" s="4"/>
      <c r="B148" s="4"/>
      <c r="C148" s="4"/>
      <c r="D148" s="7" t="s">
        <v>394</v>
      </c>
      <c r="E148" s="8" t="n">
        <v>0</v>
      </c>
      <c r="F148" s="9" t="n">
        <v>1</v>
      </c>
      <c r="G148" s="11" t="n">
        <v>-1</v>
      </c>
      <c r="H148" s="8" t="n">
        <v>0</v>
      </c>
      <c r="I148" s="10" t="s">
        <v>395</v>
      </c>
    </row>
    <row r="149" customFormat="false" ht="15" hidden="false" customHeight="true" outlineLevel="0" collapsed="false">
      <c r="A149" s="4" t="s">
        <v>396</v>
      </c>
      <c r="B149" s="16" t="s">
        <v>317</v>
      </c>
      <c r="C149" s="17" t="s">
        <v>397</v>
      </c>
      <c r="D149" s="7" t="s">
        <v>398</v>
      </c>
      <c r="E149" s="8" t="n">
        <v>0</v>
      </c>
      <c r="F149" s="9" t="n">
        <v>1</v>
      </c>
      <c r="G149" s="9" t="n">
        <v>1</v>
      </c>
      <c r="H149" s="9" t="n">
        <v>2</v>
      </c>
      <c r="I149" s="10" t="s">
        <v>399</v>
      </c>
    </row>
    <row r="150" customFormat="false" ht="15" hidden="false" customHeight="false" outlineLevel="0" collapsed="false">
      <c r="A150" s="4"/>
      <c r="B150" s="4"/>
      <c r="C150" s="4"/>
      <c r="D150" s="7" t="s">
        <v>400</v>
      </c>
      <c r="E150" s="8" t="n">
        <v>0</v>
      </c>
      <c r="F150" s="11" t="n">
        <v>-1</v>
      </c>
      <c r="G150" s="8" t="n">
        <v>0</v>
      </c>
      <c r="H150" s="11" t="n">
        <v>-2</v>
      </c>
      <c r="I150" s="10" t="s">
        <v>401</v>
      </c>
    </row>
    <row r="151" customFormat="false" ht="15" hidden="false" customHeight="false" outlineLevel="0" collapsed="false">
      <c r="A151" s="4"/>
      <c r="B151" s="4"/>
      <c r="C151" s="4"/>
      <c r="D151" s="7" t="s">
        <v>402</v>
      </c>
      <c r="E151" s="8" t="n">
        <v>0</v>
      </c>
      <c r="F151" s="8" t="n">
        <v>0</v>
      </c>
      <c r="G151" s="8" t="n">
        <v>0</v>
      </c>
      <c r="H151" s="8" t="n">
        <v>0</v>
      </c>
      <c r="I151" s="10" t="s">
        <v>403</v>
      </c>
    </row>
    <row r="152" customFormat="false" ht="15" hidden="false" customHeight="true" outlineLevel="0" collapsed="false">
      <c r="A152" s="4" t="s">
        <v>404</v>
      </c>
      <c r="B152" s="18" t="s">
        <v>405</v>
      </c>
      <c r="C152" s="19" t="s">
        <v>406</v>
      </c>
      <c r="D152" s="7" t="s">
        <v>407</v>
      </c>
      <c r="E152" s="9" t="n">
        <v>2</v>
      </c>
      <c r="F152" s="9" t="n">
        <v>1</v>
      </c>
      <c r="G152" s="9" t="n">
        <v>1</v>
      </c>
      <c r="H152" s="11" t="n">
        <v>-1</v>
      </c>
      <c r="I152" s="10" t="s">
        <v>408</v>
      </c>
    </row>
    <row r="153" customFormat="false" ht="15" hidden="false" customHeight="false" outlineLevel="0" collapsed="false">
      <c r="A153" s="4"/>
      <c r="B153" s="4"/>
      <c r="C153" s="4"/>
      <c r="D153" s="7" t="s">
        <v>409</v>
      </c>
      <c r="E153" s="11" t="n">
        <v>-1</v>
      </c>
      <c r="F153" s="8" t="n">
        <v>0</v>
      </c>
      <c r="G153" s="11" t="n">
        <v>-1</v>
      </c>
      <c r="H153" s="9" t="n">
        <v>2</v>
      </c>
      <c r="I153" s="10" t="s">
        <v>410</v>
      </c>
    </row>
    <row r="154" customFormat="false" ht="15" hidden="false" customHeight="true" outlineLevel="0" collapsed="false">
      <c r="A154" s="4" t="s">
        <v>411</v>
      </c>
      <c r="B154" s="18" t="s">
        <v>405</v>
      </c>
      <c r="C154" s="19" t="s">
        <v>412</v>
      </c>
      <c r="D154" s="7" t="s">
        <v>413</v>
      </c>
      <c r="E154" s="9" t="n">
        <v>1</v>
      </c>
      <c r="F154" s="8" t="n">
        <v>0</v>
      </c>
      <c r="G154" s="8" t="n">
        <v>0</v>
      </c>
      <c r="H154" s="8" t="n">
        <v>0</v>
      </c>
      <c r="I154" s="10" t="s">
        <v>414</v>
      </c>
    </row>
    <row r="155" customFormat="false" ht="15" hidden="false" customHeight="false" outlineLevel="0" collapsed="false">
      <c r="A155" s="4"/>
      <c r="B155" s="4"/>
      <c r="C155" s="4"/>
      <c r="D155" s="7" t="s">
        <v>415</v>
      </c>
      <c r="E155" s="8" t="n">
        <v>0</v>
      </c>
      <c r="F155" s="9" t="n">
        <v>1</v>
      </c>
      <c r="G155" s="8" t="n">
        <v>0</v>
      </c>
      <c r="H155" s="8" t="n">
        <v>0</v>
      </c>
      <c r="I155" s="10" t="s">
        <v>416</v>
      </c>
    </row>
    <row r="156" customFormat="false" ht="15" hidden="false" customHeight="false" outlineLevel="0" collapsed="false">
      <c r="A156" s="4"/>
      <c r="B156" s="4"/>
      <c r="C156" s="4"/>
      <c r="D156" s="7" t="s">
        <v>417</v>
      </c>
      <c r="E156" s="9" t="n">
        <v>1</v>
      </c>
      <c r="F156" s="9" t="n">
        <v>1</v>
      </c>
      <c r="G156" s="8" t="n">
        <v>0</v>
      </c>
      <c r="H156" s="8" t="n">
        <v>0</v>
      </c>
      <c r="I156" s="10" t="s">
        <v>418</v>
      </c>
    </row>
    <row r="157" customFormat="false" ht="15" hidden="false" customHeight="true" outlineLevel="0" collapsed="false">
      <c r="A157" s="4" t="s">
        <v>419</v>
      </c>
      <c r="B157" s="18" t="s">
        <v>405</v>
      </c>
      <c r="C157" s="19" t="s">
        <v>420</v>
      </c>
      <c r="D157" s="7" t="s">
        <v>421</v>
      </c>
      <c r="E157" s="11" t="n">
        <v>-2</v>
      </c>
      <c r="F157" s="9" t="n">
        <v>3</v>
      </c>
      <c r="G157" s="11" t="n">
        <v>-2</v>
      </c>
      <c r="H157" s="8" t="n">
        <v>0</v>
      </c>
      <c r="I157" s="10" t="s">
        <v>422</v>
      </c>
    </row>
    <row r="158" customFormat="false" ht="15" hidden="false" customHeight="false" outlineLevel="0" collapsed="false">
      <c r="A158" s="4"/>
      <c r="B158" s="4"/>
      <c r="C158" s="4"/>
      <c r="D158" s="7" t="s">
        <v>423</v>
      </c>
      <c r="E158" s="9" t="n">
        <v>2</v>
      </c>
      <c r="F158" s="11" t="n">
        <v>-2</v>
      </c>
      <c r="G158" s="9" t="n">
        <v>2</v>
      </c>
      <c r="H158" s="9" t="n">
        <v>1</v>
      </c>
      <c r="I158" s="10" t="s">
        <v>424</v>
      </c>
    </row>
    <row r="159" customFormat="false" ht="22.35" hidden="false" customHeight="false" outlineLevel="0" collapsed="false">
      <c r="A159" s="4"/>
      <c r="B159" s="4"/>
      <c r="C159" s="4"/>
      <c r="D159" s="7" t="s">
        <v>425</v>
      </c>
      <c r="E159" s="9" t="n">
        <v>1</v>
      </c>
      <c r="F159" s="9" t="n">
        <v>2</v>
      </c>
      <c r="G159" s="8" t="n">
        <v>0</v>
      </c>
      <c r="H159" s="9" t="n">
        <v>1</v>
      </c>
      <c r="I159" s="10" t="s">
        <v>426</v>
      </c>
    </row>
    <row r="160" customFormat="false" ht="15" hidden="false" customHeight="true" outlineLevel="0" collapsed="false">
      <c r="A160" s="4" t="s">
        <v>427</v>
      </c>
      <c r="B160" s="18" t="s">
        <v>405</v>
      </c>
      <c r="C160" s="19" t="s">
        <v>428</v>
      </c>
      <c r="D160" s="7" t="s">
        <v>429</v>
      </c>
      <c r="E160" s="11" t="n">
        <v>-1</v>
      </c>
      <c r="F160" s="9" t="n">
        <v>2</v>
      </c>
      <c r="G160" s="11" t="n">
        <v>-1</v>
      </c>
      <c r="H160" s="8" t="n">
        <v>0</v>
      </c>
      <c r="I160" s="10" t="s">
        <v>430</v>
      </c>
    </row>
    <row r="161" customFormat="false" ht="15" hidden="false" customHeight="false" outlineLevel="0" collapsed="false">
      <c r="A161" s="4"/>
      <c r="B161" s="4"/>
      <c r="C161" s="4"/>
      <c r="D161" s="7" t="s">
        <v>431</v>
      </c>
      <c r="E161" s="9" t="n">
        <v>1</v>
      </c>
      <c r="F161" s="11" t="n">
        <v>-2</v>
      </c>
      <c r="G161" s="9" t="n">
        <v>1</v>
      </c>
      <c r="H161" s="8" t="n">
        <v>0</v>
      </c>
      <c r="I161" s="10" t="s">
        <v>432</v>
      </c>
    </row>
    <row r="162" customFormat="false" ht="15" hidden="false" customHeight="false" outlineLevel="0" collapsed="false">
      <c r="A162" s="4"/>
      <c r="B162" s="4"/>
      <c r="C162" s="4"/>
      <c r="D162" s="7" t="s">
        <v>433</v>
      </c>
      <c r="E162" s="11" t="n">
        <v>-2</v>
      </c>
      <c r="F162" s="8" t="n">
        <v>0</v>
      </c>
      <c r="G162" s="11" t="n">
        <v>-1</v>
      </c>
      <c r="H162" s="11" t="n">
        <v>-2</v>
      </c>
      <c r="I162" s="10" t="s">
        <v>434</v>
      </c>
    </row>
    <row r="163" customFormat="false" ht="15" hidden="false" customHeight="true" outlineLevel="0" collapsed="false">
      <c r="A163" s="4" t="s">
        <v>435</v>
      </c>
      <c r="B163" s="18" t="s">
        <v>405</v>
      </c>
      <c r="C163" s="19" t="s">
        <v>436</v>
      </c>
      <c r="D163" s="7" t="s">
        <v>413</v>
      </c>
      <c r="E163" s="9" t="n">
        <v>2</v>
      </c>
      <c r="F163" s="11" t="n">
        <v>-1</v>
      </c>
      <c r="G163" s="9" t="n">
        <v>1</v>
      </c>
      <c r="H163" s="11" t="n">
        <v>-2</v>
      </c>
      <c r="I163" s="10" t="s">
        <v>437</v>
      </c>
    </row>
    <row r="164" customFormat="false" ht="15" hidden="false" customHeight="false" outlineLevel="0" collapsed="false">
      <c r="A164" s="4"/>
      <c r="B164" s="4"/>
      <c r="C164" s="4"/>
      <c r="D164" s="7" t="s">
        <v>415</v>
      </c>
      <c r="E164" s="8" t="n">
        <v>0</v>
      </c>
      <c r="F164" s="9" t="n">
        <v>1</v>
      </c>
      <c r="G164" s="11" t="n">
        <v>-1</v>
      </c>
      <c r="H164" s="9" t="n">
        <v>1</v>
      </c>
      <c r="I164" s="10" t="s">
        <v>438</v>
      </c>
    </row>
    <row r="165" customFormat="false" ht="15" hidden="false" customHeight="false" outlineLevel="0" collapsed="false">
      <c r="A165" s="4"/>
      <c r="B165" s="4"/>
      <c r="C165" s="4"/>
      <c r="D165" s="7" t="s">
        <v>439</v>
      </c>
      <c r="E165" s="9" t="n">
        <v>2</v>
      </c>
      <c r="F165" s="11" t="n">
        <v>-2</v>
      </c>
      <c r="G165" s="9" t="n">
        <v>1</v>
      </c>
      <c r="H165" s="9" t="n">
        <v>1</v>
      </c>
      <c r="I165" s="10" t="s">
        <v>440</v>
      </c>
    </row>
    <row r="166" customFormat="false" ht="15" hidden="false" customHeight="true" outlineLevel="0" collapsed="false">
      <c r="A166" s="4" t="s">
        <v>441</v>
      </c>
      <c r="B166" s="18" t="s">
        <v>405</v>
      </c>
      <c r="C166" s="19" t="s">
        <v>442</v>
      </c>
      <c r="D166" s="7" t="s">
        <v>443</v>
      </c>
      <c r="E166" s="8" t="n">
        <v>0</v>
      </c>
      <c r="F166" s="9" t="n">
        <v>1</v>
      </c>
      <c r="G166" s="8" t="n">
        <v>0</v>
      </c>
      <c r="H166" s="9" t="n">
        <v>1</v>
      </c>
      <c r="I166" s="10" t="s">
        <v>444</v>
      </c>
    </row>
    <row r="167" customFormat="false" ht="15" hidden="false" customHeight="false" outlineLevel="0" collapsed="false">
      <c r="A167" s="4"/>
      <c r="B167" s="4"/>
      <c r="C167" s="4"/>
      <c r="D167" s="7" t="s">
        <v>445</v>
      </c>
      <c r="E167" s="8" t="n">
        <v>0</v>
      </c>
      <c r="F167" s="9" t="n">
        <v>1</v>
      </c>
      <c r="G167" s="11" t="n">
        <v>-1</v>
      </c>
      <c r="H167" s="8" t="n">
        <v>0</v>
      </c>
      <c r="I167" s="10" t="s">
        <v>446</v>
      </c>
    </row>
    <row r="168" customFormat="false" ht="15" hidden="false" customHeight="false" outlineLevel="0" collapsed="false">
      <c r="A168" s="4"/>
      <c r="B168" s="4"/>
      <c r="C168" s="4"/>
      <c r="D168" s="7" t="s">
        <v>447</v>
      </c>
      <c r="E168" s="11" t="n">
        <v>-1</v>
      </c>
      <c r="F168" s="9" t="n">
        <v>1</v>
      </c>
      <c r="G168" s="8" t="n">
        <v>0</v>
      </c>
      <c r="H168" s="8" t="n">
        <v>0</v>
      </c>
      <c r="I168" s="10" t="s">
        <v>448</v>
      </c>
    </row>
    <row r="169" customFormat="false" ht="15" hidden="false" customHeight="true" outlineLevel="0" collapsed="false">
      <c r="A169" s="4" t="s">
        <v>449</v>
      </c>
      <c r="B169" s="18" t="s">
        <v>405</v>
      </c>
      <c r="C169" s="19" t="s">
        <v>450</v>
      </c>
      <c r="D169" s="7" t="s">
        <v>94</v>
      </c>
      <c r="E169" s="11" t="n">
        <v>-1</v>
      </c>
      <c r="F169" s="9" t="n">
        <v>2</v>
      </c>
      <c r="G169" s="8" t="n">
        <v>0</v>
      </c>
      <c r="H169" s="8" t="n">
        <v>0</v>
      </c>
      <c r="I169" s="10" t="s">
        <v>451</v>
      </c>
    </row>
    <row r="170" customFormat="false" ht="15" hidden="false" customHeight="false" outlineLevel="0" collapsed="false">
      <c r="A170" s="4"/>
      <c r="B170" s="4"/>
      <c r="C170" s="4"/>
      <c r="D170" s="7" t="s">
        <v>452</v>
      </c>
      <c r="E170" s="9" t="n">
        <v>1</v>
      </c>
      <c r="F170" s="11" t="n">
        <v>-1</v>
      </c>
      <c r="G170" s="9" t="n">
        <v>1</v>
      </c>
      <c r="H170" s="9" t="n">
        <v>1</v>
      </c>
      <c r="I170" s="10" t="s">
        <v>453</v>
      </c>
    </row>
    <row r="171" customFormat="false" ht="15" hidden="false" customHeight="true" outlineLevel="0" collapsed="false">
      <c r="A171" s="4" t="s">
        <v>454</v>
      </c>
      <c r="B171" s="18" t="s">
        <v>405</v>
      </c>
      <c r="C171" s="19" t="s">
        <v>455</v>
      </c>
      <c r="D171" s="7" t="s">
        <v>456</v>
      </c>
      <c r="E171" s="8" t="n">
        <v>0</v>
      </c>
      <c r="F171" s="8" t="n">
        <v>0</v>
      </c>
      <c r="G171" s="8" t="n">
        <v>0</v>
      </c>
      <c r="H171" s="8" t="n">
        <v>0</v>
      </c>
      <c r="I171" s="10" t="s">
        <v>457</v>
      </c>
    </row>
    <row r="172" customFormat="false" ht="15" hidden="false" customHeight="false" outlineLevel="0" collapsed="false">
      <c r="A172" s="4"/>
      <c r="B172" s="4"/>
      <c r="C172" s="4"/>
      <c r="D172" s="7" t="s">
        <v>458</v>
      </c>
      <c r="E172" s="11" t="n">
        <v>-1</v>
      </c>
      <c r="F172" s="9" t="n">
        <v>1</v>
      </c>
      <c r="G172" s="8" t="n">
        <v>0</v>
      </c>
      <c r="H172" s="9" t="n">
        <v>2</v>
      </c>
      <c r="I172" s="10" t="s">
        <v>459</v>
      </c>
    </row>
    <row r="173" customFormat="false" ht="15" hidden="false" customHeight="false" outlineLevel="0" collapsed="false">
      <c r="A173" s="4"/>
      <c r="B173" s="4"/>
      <c r="C173" s="4"/>
      <c r="D173" s="7" t="s">
        <v>460</v>
      </c>
      <c r="E173" s="8" t="n">
        <v>0</v>
      </c>
      <c r="F173" s="11" t="n">
        <v>-1</v>
      </c>
      <c r="G173" s="8" t="n">
        <v>0</v>
      </c>
      <c r="H173" s="8" t="n">
        <v>0</v>
      </c>
      <c r="I173" s="10" t="s">
        <v>461</v>
      </c>
    </row>
    <row r="174" customFormat="false" ht="15" hidden="false" customHeight="true" outlineLevel="0" collapsed="false">
      <c r="A174" s="4" t="s">
        <v>462</v>
      </c>
      <c r="B174" s="18" t="s">
        <v>405</v>
      </c>
      <c r="C174" s="19" t="s">
        <v>463</v>
      </c>
      <c r="D174" s="7" t="s">
        <v>464</v>
      </c>
      <c r="E174" s="9" t="n">
        <v>1</v>
      </c>
      <c r="F174" s="8" t="n">
        <v>0</v>
      </c>
      <c r="G174" s="8" t="n">
        <v>0</v>
      </c>
      <c r="H174" s="11" t="n">
        <v>-2</v>
      </c>
      <c r="I174" s="10" t="s">
        <v>465</v>
      </c>
    </row>
    <row r="175" customFormat="false" ht="15" hidden="false" customHeight="false" outlineLevel="0" collapsed="false">
      <c r="A175" s="4"/>
      <c r="B175" s="4"/>
      <c r="C175" s="4"/>
      <c r="D175" s="7" t="s">
        <v>466</v>
      </c>
      <c r="E175" s="8" t="n">
        <v>0</v>
      </c>
      <c r="F175" s="9" t="n">
        <v>1</v>
      </c>
      <c r="G175" s="8" t="n">
        <v>0</v>
      </c>
      <c r="H175" s="9" t="n">
        <v>1</v>
      </c>
      <c r="I175" s="10" t="s">
        <v>386</v>
      </c>
    </row>
    <row r="176" customFormat="false" ht="15" hidden="false" customHeight="false" outlineLevel="0" collapsed="false">
      <c r="A176" s="4"/>
      <c r="B176" s="4"/>
      <c r="C176" s="4"/>
      <c r="D176" s="7" t="s">
        <v>467</v>
      </c>
      <c r="E176" s="8" t="n">
        <v>0</v>
      </c>
      <c r="F176" s="9" t="n">
        <v>2</v>
      </c>
      <c r="G176" s="9" t="n">
        <v>1</v>
      </c>
      <c r="H176" s="8" t="n">
        <v>0</v>
      </c>
      <c r="I176" s="10" t="s">
        <v>468</v>
      </c>
    </row>
    <row r="177" customFormat="false" ht="15" hidden="false" customHeight="true" outlineLevel="0" collapsed="false">
      <c r="A177" s="4" t="s">
        <v>469</v>
      </c>
      <c r="B177" s="18" t="s">
        <v>405</v>
      </c>
      <c r="C177" s="19" t="s">
        <v>470</v>
      </c>
      <c r="D177" s="7" t="s">
        <v>413</v>
      </c>
      <c r="E177" s="9" t="n">
        <v>2</v>
      </c>
      <c r="F177" s="8" t="n">
        <v>0</v>
      </c>
      <c r="G177" s="11" t="n">
        <v>-2</v>
      </c>
      <c r="H177" s="8" t="n">
        <v>0</v>
      </c>
      <c r="I177" s="10" t="s">
        <v>471</v>
      </c>
    </row>
    <row r="178" customFormat="false" ht="15" hidden="false" customHeight="false" outlineLevel="0" collapsed="false">
      <c r="A178" s="4"/>
      <c r="B178" s="4"/>
      <c r="C178" s="4"/>
      <c r="D178" s="7" t="s">
        <v>415</v>
      </c>
      <c r="E178" s="8" t="n">
        <v>0</v>
      </c>
      <c r="F178" s="8" t="n">
        <v>0</v>
      </c>
      <c r="G178" s="9" t="n">
        <v>1</v>
      </c>
      <c r="H178" s="8" t="n">
        <v>0</v>
      </c>
      <c r="I178" s="10" t="s">
        <v>472</v>
      </c>
    </row>
    <row r="179" customFormat="false" ht="15" hidden="false" customHeight="false" outlineLevel="0" collapsed="false">
      <c r="A179" s="4"/>
      <c r="B179" s="4"/>
      <c r="C179" s="4"/>
      <c r="D179" s="7" t="s">
        <v>473</v>
      </c>
      <c r="E179" s="9" t="n">
        <v>2</v>
      </c>
      <c r="F179" s="8" t="n">
        <v>0</v>
      </c>
      <c r="G179" s="8" t="n">
        <v>0</v>
      </c>
      <c r="H179" s="8" t="n">
        <v>0</v>
      </c>
      <c r="I179" s="10" t="s">
        <v>474</v>
      </c>
    </row>
    <row r="180" customFormat="false" ht="15" hidden="false" customHeight="true" outlineLevel="0" collapsed="false">
      <c r="A180" s="4" t="s">
        <v>475</v>
      </c>
      <c r="B180" s="18" t="s">
        <v>405</v>
      </c>
      <c r="C180" s="19" t="s">
        <v>476</v>
      </c>
      <c r="D180" s="7" t="s">
        <v>477</v>
      </c>
      <c r="E180" s="9" t="n">
        <v>1</v>
      </c>
      <c r="F180" s="9" t="n">
        <v>1</v>
      </c>
      <c r="G180" s="8" t="n">
        <v>0</v>
      </c>
      <c r="H180" s="9" t="n">
        <v>1</v>
      </c>
      <c r="I180" s="10" t="s">
        <v>478</v>
      </c>
    </row>
    <row r="181" customFormat="false" ht="15" hidden="false" customHeight="false" outlineLevel="0" collapsed="false">
      <c r="A181" s="4"/>
      <c r="B181" s="4"/>
      <c r="C181" s="4"/>
      <c r="D181" s="7" t="s">
        <v>479</v>
      </c>
      <c r="E181" s="9" t="n">
        <v>2</v>
      </c>
      <c r="F181" s="11" t="n">
        <v>-1</v>
      </c>
      <c r="G181" s="9" t="n">
        <v>2</v>
      </c>
      <c r="H181" s="11" t="n">
        <v>-1</v>
      </c>
      <c r="I181" s="10" t="s">
        <v>480</v>
      </c>
    </row>
  </sheetData>
  <mergeCells count="180">
    <mergeCell ref="A5:A7"/>
    <mergeCell ref="B5:B7"/>
    <mergeCell ref="C5:C7"/>
    <mergeCell ref="A8:A10"/>
    <mergeCell ref="B8:B10"/>
    <mergeCell ref="C8:C10"/>
    <mergeCell ref="A11:A13"/>
    <mergeCell ref="B11:B13"/>
    <mergeCell ref="C11:C13"/>
    <mergeCell ref="A14:A16"/>
    <mergeCell ref="B14:B16"/>
    <mergeCell ref="C14:C16"/>
    <mergeCell ref="A17:A19"/>
    <mergeCell ref="B17:B19"/>
    <mergeCell ref="C17:C19"/>
    <mergeCell ref="A20:A22"/>
    <mergeCell ref="B20:B22"/>
    <mergeCell ref="C20:C22"/>
    <mergeCell ref="A23:A25"/>
    <mergeCell ref="B23:B25"/>
    <mergeCell ref="C23:C25"/>
    <mergeCell ref="A26:A28"/>
    <mergeCell ref="B26:B28"/>
    <mergeCell ref="C26:C28"/>
    <mergeCell ref="A29:A31"/>
    <mergeCell ref="B29:B31"/>
    <mergeCell ref="C29:C31"/>
    <mergeCell ref="A32:A34"/>
    <mergeCell ref="B32:B34"/>
    <mergeCell ref="C32:C34"/>
    <mergeCell ref="A35:A37"/>
    <mergeCell ref="B35:B37"/>
    <mergeCell ref="C35:C37"/>
    <mergeCell ref="A38:A40"/>
    <mergeCell ref="B38:B40"/>
    <mergeCell ref="C38:C40"/>
    <mergeCell ref="A41:A43"/>
    <mergeCell ref="B41:B43"/>
    <mergeCell ref="C41:C43"/>
    <mergeCell ref="A44:A46"/>
    <mergeCell ref="B44:B46"/>
    <mergeCell ref="C44:C46"/>
    <mergeCell ref="A47:A49"/>
    <mergeCell ref="B47:B49"/>
    <mergeCell ref="C47:C49"/>
    <mergeCell ref="A50:A52"/>
    <mergeCell ref="B50:B52"/>
    <mergeCell ref="C50:C52"/>
    <mergeCell ref="A53:A55"/>
    <mergeCell ref="B53:B55"/>
    <mergeCell ref="C53:C55"/>
    <mergeCell ref="A56:A58"/>
    <mergeCell ref="B56:B58"/>
    <mergeCell ref="C56:C58"/>
    <mergeCell ref="A59:A61"/>
    <mergeCell ref="B59:B61"/>
    <mergeCell ref="C59:C61"/>
    <mergeCell ref="A62:A64"/>
    <mergeCell ref="B62:B64"/>
    <mergeCell ref="C62:C64"/>
    <mergeCell ref="A65:A67"/>
    <mergeCell ref="B65:B67"/>
    <mergeCell ref="C65:C67"/>
    <mergeCell ref="A68:A70"/>
    <mergeCell ref="B68:B70"/>
    <mergeCell ref="C68:C70"/>
    <mergeCell ref="A71:A73"/>
    <mergeCell ref="B71:B73"/>
    <mergeCell ref="C71:C73"/>
    <mergeCell ref="A74:A76"/>
    <mergeCell ref="B74:B76"/>
    <mergeCell ref="C74:C76"/>
    <mergeCell ref="A77:A79"/>
    <mergeCell ref="B77:B79"/>
    <mergeCell ref="C77:C79"/>
    <mergeCell ref="A80:A82"/>
    <mergeCell ref="B80:B82"/>
    <mergeCell ref="C80:C82"/>
    <mergeCell ref="A83:A85"/>
    <mergeCell ref="B83:B85"/>
    <mergeCell ref="C83:C85"/>
    <mergeCell ref="A86:A88"/>
    <mergeCell ref="B86:B88"/>
    <mergeCell ref="C86:C88"/>
    <mergeCell ref="A89:A91"/>
    <mergeCell ref="B89:B91"/>
    <mergeCell ref="C89:C91"/>
    <mergeCell ref="A92:A94"/>
    <mergeCell ref="B92:B94"/>
    <mergeCell ref="C92:C94"/>
    <mergeCell ref="A95:A97"/>
    <mergeCell ref="B95:B97"/>
    <mergeCell ref="C95:C97"/>
    <mergeCell ref="A98:A100"/>
    <mergeCell ref="B98:B100"/>
    <mergeCell ref="C98:C100"/>
    <mergeCell ref="A101:A103"/>
    <mergeCell ref="B101:B103"/>
    <mergeCell ref="C101:C103"/>
    <mergeCell ref="A104:A106"/>
    <mergeCell ref="B104:B106"/>
    <mergeCell ref="C104:C106"/>
    <mergeCell ref="A107:A109"/>
    <mergeCell ref="B107:B109"/>
    <mergeCell ref="C107:C109"/>
    <mergeCell ref="A110:A112"/>
    <mergeCell ref="B110:B112"/>
    <mergeCell ref="C110:C112"/>
    <mergeCell ref="A113:A115"/>
    <mergeCell ref="B113:B115"/>
    <mergeCell ref="C113:C115"/>
    <mergeCell ref="A116:A118"/>
    <mergeCell ref="B116:B118"/>
    <mergeCell ref="C116:C118"/>
    <mergeCell ref="A119:A121"/>
    <mergeCell ref="B119:B121"/>
    <mergeCell ref="C119:C121"/>
    <mergeCell ref="A122:A124"/>
    <mergeCell ref="B122:B124"/>
    <mergeCell ref="C122:C124"/>
    <mergeCell ref="A125:A127"/>
    <mergeCell ref="B125:B127"/>
    <mergeCell ref="C125:C127"/>
    <mergeCell ref="A128:A130"/>
    <mergeCell ref="B128:B130"/>
    <mergeCell ref="C128:C130"/>
    <mergeCell ref="A131:A133"/>
    <mergeCell ref="B131:B133"/>
    <mergeCell ref="C131:C133"/>
    <mergeCell ref="A134:A136"/>
    <mergeCell ref="B134:B136"/>
    <mergeCell ref="C134:C136"/>
    <mergeCell ref="A137:A139"/>
    <mergeCell ref="B137:B139"/>
    <mergeCell ref="C137:C139"/>
    <mergeCell ref="A140:A142"/>
    <mergeCell ref="B140:B142"/>
    <mergeCell ref="C140:C142"/>
    <mergeCell ref="A143:A145"/>
    <mergeCell ref="B143:B145"/>
    <mergeCell ref="C143:C145"/>
    <mergeCell ref="A146:A148"/>
    <mergeCell ref="B146:B148"/>
    <mergeCell ref="C146:C148"/>
    <mergeCell ref="A149:A151"/>
    <mergeCell ref="B149:B151"/>
    <mergeCell ref="C149:C151"/>
    <mergeCell ref="A152:A153"/>
    <mergeCell ref="B152:B153"/>
    <mergeCell ref="C152:C153"/>
    <mergeCell ref="A154:A156"/>
    <mergeCell ref="B154:B156"/>
    <mergeCell ref="C154:C156"/>
    <mergeCell ref="A157:A159"/>
    <mergeCell ref="B157:B159"/>
    <mergeCell ref="C157:C159"/>
    <mergeCell ref="A160:A162"/>
    <mergeCell ref="B160:B162"/>
    <mergeCell ref="C160:C162"/>
    <mergeCell ref="A163:A165"/>
    <mergeCell ref="B163:B165"/>
    <mergeCell ref="C163:C165"/>
    <mergeCell ref="A166:A168"/>
    <mergeCell ref="B166:B168"/>
    <mergeCell ref="C166:C168"/>
    <mergeCell ref="A169:A170"/>
    <mergeCell ref="B169:B170"/>
    <mergeCell ref="C169:C170"/>
    <mergeCell ref="A171:A173"/>
    <mergeCell ref="B171:B173"/>
    <mergeCell ref="C171:C173"/>
    <mergeCell ref="A174:A176"/>
    <mergeCell ref="B174:B176"/>
    <mergeCell ref="C174:C176"/>
    <mergeCell ref="A177:A179"/>
    <mergeCell ref="B177:B179"/>
    <mergeCell ref="C177:C179"/>
    <mergeCell ref="A180:A181"/>
    <mergeCell ref="B180:B181"/>
    <mergeCell ref="C180:C1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481</v>
      </c>
    </row>
    <row r="3" customFormat="false" ht="15" hidden="false" customHeight="false" outlineLevel="0" collapsed="false">
      <c r="A3" s="20" t="s">
        <v>482</v>
      </c>
    </row>
    <row r="4" customFormat="false" ht="15" hidden="false" customHeight="false" outlineLevel="0" collapsed="false">
      <c r="A4" s="21" t="s">
        <v>6</v>
      </c>
      <c r="B4" s="22" t="s">
        <v>483</v>
      </c>
    </row>
    <row r="5" customFormat="false" ht="15" hidden="false" customHeight="false" outlineLevel="0" collapsed="false">
      <c r="A5" s="21" t="s">
        <v>7</v>
      </c>
      <c r="B5" s="22" t="s">
        <v>484</v>
      </c>
    </row>
    <row r="6" customFormat="false" ht="15" hidden="false" customHeight="false" outlineLevel="0" collapsed="false">
      <c r="A6" s="21" t="s">
        <v>8</v>
      </c>
      <c r="B6" s="22" t="s">
        <v>485</v>
      </c>
    </row>
    <row r="7" customFormat="false" ht="15" hidden="false" customHeight="false" outlineLevel="0" collapsed="false">
      <c r="A7" s="21" t="s">
        <v>9</v>
      </c>
      <c r="B7" s="22" t="s">
        <v>486</v>
      </c>
    </row>
    <row r="9" customFormat="false" ht="15" hidden="false" customHeight="false" outlineLevel="0" collapsed="false">
      <c r="A9" s="20" t="s">
        <v>487</v>
      </c>
    </row>
    <row r="10" customFormat="false" ht="15" hidden="false" customHeight="false" outlineLevel="0" collapsed="false">
      <c r="A10" s="21" t="s">
        <v>488</v>
      </c>
      <c r="B10" s="23" t="s">
        <v>489</v>
      </c>
    </row>
    <row r="11" customFormat="false" ht="15" hidden="false" customHeight="false" outlineLevel="0" collapsed="false">
      <c r="A11" s="21" t="s">
        <v>490</v>
      </c>
      <c r="B11" s="23" t="s">
        <v>491</v>
      </c>
    </row>
    <row r="12" customFormat="false" ht="15" hidden="false" customHeight="false" outlineLevel="0" collapsed="false">
      <c r="A12" s="21" t="s">
        <v>492</v>
      </c>
      <c r="B12" s="23" t="s">
        <v>493</v>
      </c>
    </row>
    <row r="13" customFormat="false" ht="15" hidden="false" customHeight="false" outlineLevel="0" collapsed="false">
      <c r="A13" s="21" t="s">
        <v>494</v>
      </c>
      <c r="B13" s="23" t="s">
        <v>495</v>
      </c>
    </row>
    <row r="15" customFormat="false" ht="15" hidden="false" customHeight="false" outlineLevel="0" collapsed="false">
      <c r="A15" s="20" t="s">
        <v>496</v>
      </c>
    </row>
    <row r="16" customFormat="false" ht="15" hidden="false" customHeight="false" outlineLevel="0" collapsed="false">
      <c r="A16" s="24" t="s">
        <v>497</v>
      </c>
    </row>
    <row r="17" customFormat="false" ht="15" hidden="false" customHeight="false" outlineLevel="0" collapsed="false">
      <c r="A17" s="25" t="s">
        <v>498</v>
      </c>
      <c r="B17" s="25" t="s">
        <v>499</v>
      </c>
      <c r="C17" s="25" t="s">
        <v>500</v>
      </c>
      <c r="D17" s="25" t="s">
        <v>501</v>
      </c>
    </row>
    <row r="18" customFormat="false" ht="15" hidden="false" customHeight="false" outlineLevel="0" collapsed="false">
      <c r="A18" s="26" t="s">
        <v>6</v>
      </c>
      <c r="B18" s="27" t="n">
        <f aca="false">SUM(Pool_Decisiones!E5:E181)</f>
        <v>36</v>
      </c>
      <c r="C18" s="28" t="n">
        <f aca="false">SUMIF(Pool_Decisiones!E5:E181,"&gt;0")</f>
        <v>66</v>
      </c>
      <c r="D18" s="28" t="n">
        <f aca="false">SUMIF(Pool_Decisiones!E5:E181,"&lt;0")</f>
        <v>-30</v>
      </c>
    </row>
    <row r="19" customFormat="false" ht="15" hidden="false" customHeight="false" outlineLevel="0" collapsed="false">
      <c r="A19" s="26" t="s">
        <v>7</v>
      </c>
      <c r="B19" s="27" t="n">
        <f aca="false">SUM(Pool_Decisiones!F5:F181)</f>
        <v>24</v>
      </c>
      <c r="C19" s="28" t="n">
        <f aca="false">SUMIF(Pool_Decisiones!F5:F181,"&gt;0")</f>
        <v>67</v>
      </c>
      <c r="D19" s="28" t="n">
        <f aca="false">SUMIF(Pool_Decisiones!F5:F181,"&lt;0")</f>
        <v>-43</v>
      </c>
    </row>
    <row r="20" customFormat="false" ht="15" hidden="false" customHeight="false" outlineLevel="0" collapsed="false">
      <c r="A20" s="26" t="s">
        <v>8</v>
      </c>
      <c r="B20" s="27" t="n">
        <f aca="false">SUM(Pool_Decisiones!G5:G181)</f>
        <v>9</v>
      </c>
      <c r="C20" s="28" t="n">
        <f aca="false">SUMIF(Pool_Decisiones!G5:G181,"&gt;0")</f>
        <v>51</v>
      </c>
      <c r="D20" s="28" t="n">
        <f aca="false">SUMIF(Pool_Decisiones!G5:G181,"&lt;0")</f>
        <v>-42</v>
      </c>
    </row>
    <row r="21" customFormat="false" ht="15" hidden="false" customHeight="false" outlineLevel="0" collapsed="false">
      <c r="A21" s="26" t="s">
        <v>9</v>
      </c>
      <c r="B21" s="27" t="n">
        <f aca="false">SUM(Pool_Decisiones!H5:H181)</f>
        <v>45</v>
      </c>
      <c r="C21" s="28" t="n">
        <f aca="false">SUMIF(Pool_Decisiones!H5:H181,"&gt;0")</f>
        <v>104</v>
      </c>
      <c r="D21" s="28" t="n">
        <f aca="false">SUMIF(Pool_Decisiones!H5:H181,"&lt;0")</f>
        <v>-59</v>
      </c>
    </row>
    <row r="23" customFormat="false" ht="15" hidden="false" customHeight="false" outlineLevel="0" collapsed="false">
      <c r="A23" s="20" t="s">
        <v>502</v>
      </c>
    </row>
    <row r="24" customFormat="false" ht="15" hidden="false" customHeight="false" outlineLevel="0" collapsed="false">
      <c r="A24" s="26" t="s">
        <v>12</v>
      </c>
      <c r="B24" s="28" t="n">
        <f aca="false">COUNTIF(Pool_Decisiones!$B$5:$B$181,A24)</f>
        <v>14</v>
      </c>
    </row>
    <row r="25" customFormat="false" ht="15" hidden="false" customHeight="false" outlineLevel="0" collapsed="false">
      <c r="A25" s="26" t="s">
        <v>125</v>
      </c>
      <c r="B25" s="28" t="n">
        <f aca="false">COUNTIF(Pool_Decisiones!$B$5:$B$181,A25)</f>
        <v>12</v>
      </c>
    </row>
    <row r="26" customFormat="false" ht="15" hidden="false" customHeight="false" outlineLevel="0" collapsed="false">
      <c r="A26" s="26" t="s">
        <v>7</v>
      </c>
      <c r="B26" s="28" t="n">
        <f aca="false">COUNTIF(Pool_Decisiones!$B$5:$B$181,A26)</f>
        <v>12</v>
      </c>
    </row>
    <row r="27" customFormat="false" ht="15" hidden="false" customHeight="false" outlineLevel="0" collapsed="false">
      <c r="A27" s="26" t="s">
        <v>317</v>
      </c>
      <c r="B27" s="28" t="n">
        <f aca="false">COUNTIF(Pool_Decisiones!$B$5:$B$181,A27)</f>
        <v>11</v>
      </c>
    </row>
    <row r="28" customFormat="false" ht="15" hidden="false" customHeight="false" outlineLevel="0" collapsed="false">
      <c r="A28" s="26" t="s">
        <v>405</v>
      </c>
      <c r="B28" s="28" t="n">
        <f aca="false">COUNTIF(Pool_Decisiones!$B$5:$B$181,A28)</f>
        <v>11</v>
      </c>
    </row>
    <row r="29" customFormat="false" ht="15" hidden="false" customHeight="false" outlineLevel="0" collapsed="false">
      <c r="A29" s="21" t="s">
        <v>503</v>
      </c>
      <c r="B29" s="27" t="n">
        <f aca="false">SUM(B24:B28)</f>
        <v>60</v>
      </c>
    </row>
    <row r="31" customFormat="false" ht="15" hidden="false" customHeight="false" outlineLevel="0" collapsed="false">
      <c r="A31" s="20" t="s">
        <v>504</v>
      </c>
    </row>
    <row r="32" customFormat="false" ht="15" hidden="false" customHeight="false" outlineLevel="0" collapsed="false">
      <c r="A32" s="23" t="s">
        <v>505</v>
      </c>
    </row>
    <row r="33" customFormat="false" ht="15" hidden="false" customHeight="false" outlineLevel="0" collapsed="false">
      <c r="A33" s="23" t="s">
        <v>506</v>
      </c>
    </row>
    <row r="34" customFormat="false" ht="15" hidden="false" customHeight="false" outlineLevel="0" collapsed="false">
      <c r="A34" s="23" t="s">
        <v>507</v>
      </c>
    </row>
    <row r="35" customFormat="false" ht="15" hidden="false" customHeight="false" outlineLevel="0" collapsed="false">
      <c r="A35" s="23" t="s">
        <v>508</v>
      </c>
    </row>
    <row r="36" customFormat="false" ht="15" hidden="false" customHeight="false" outlineLevel="0" collapsed="false">
      <c r="A36" s="23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2026-09-01T15:34:48Z</dcterms:created>
  <dc:creator>openpyxl</dc:creator>
  <dc:description/>
  <dc:language>en-US</dc:language>
  <cp:lastModifiedBy/>
  <dcterms:modified xsi:type="dcterms:W3CDTF">2026-09-01T15:34:48Z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