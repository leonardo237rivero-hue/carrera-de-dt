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Capa_A1_Pesos" sheetId="2" state="visible" r:id="rId4"/>
    <sheet name="Capa_A2_Fit" sheetId="3" state="visible" r:id="rId5"/>
    <sheet name="Capa_B_Matchup" sheetId="4" state="visible" r:id="rId6"/>
    <sheet name="Calculadora" sheetId="5" state="visible" r:id="rId7"/>
    <sheet name="Test_Balance" sheetId="6" state="visible" r:id="rId8"/>
    <sheet name="Notas_Tactica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<sst xmlns="http://schemas.openxmlformats.org/spreadsheetml/2006/main" count="299" uniqueCount="206">
  <si>
    <t xml:space="preserve">Sistema tactico - Carrera de DT (minijuego)</t>
  </si>
  <si>
    <t xml:space="preserve">Modelo de resolucion de cruces 1v1 - v1.0 (MVP)</t>
  </si>
  <si>
    <t xml:space="preserve">COMO USAR ESTE ARCHIVO</t>
  </si>
  <si>
    <t xml:space="preserve">Hoja 'Calculadora'</t>
  </si>
  <si>
    <t xml:space="preserve">Es la unica hoja donde se escribe. Cargar los datos de los dos DTs y ver el resultado del cruce. Las celdas AMARILLAS con texto AZUL son las editables.</t>
  </si>
  <si>
    <t xml:space="preserve">Hoja 'Capa_A1_Pesos'</t>
  </si>
  <si>
    <t xml:space="preserve">Cuanto potencia o penaliza cada formacion a cada atributo del equipo. Es el ajuste sobre uno mismo: 'como aprovecho lo que tengo'.</t>
  </si>
  <si>
    <t xml:space="preserve">Hoja 'Capa_A2_Fit'</t>
  </si>
  <si>
    <t xml:space="preserve">Cuan compatible es el modelo de juego elegido con la formacion elegida. Ej: posesion en 4-3-3 = Alto; posesion en 4-4-2 = Bajo.</t>
  </si>
  <si>
    <t xml:space="preserve">Hoja 'Capa_B_Matchup'</t>
  </si>
  <si>
    <t xml:space="preserve">Ventaja o desventaja de zona de mi formacion CONTRA la formacion del rival. Es el ajuste relativo: 'que le gano y que le pierdo al de enfrente'.</t>
  </si>
  <si>
    <t xml:space="preserve">Hoja 'Test_Balance'</t>
  </si>
  <si>
    <t xml:space="preserve">Escenarios de prueba para verificar que el azar NO da vuelta una diferencia grande de habilidad.</t>
  </si>
  <si>
    <t xml:space="preserve">Hoja 'Notas_Tacticas'</t>
  </si>
  <si>
    <t xml:space="preserve">Justificacion futbolistica de cada numero de las tablas, con fuentes.</t>
  </si>
  <si>
    <t xml:space="preserve">LEYENDA DE COLORES</t>
  </si>
  <si>
    <t xml:space="preserve">Amarillo + texto azul</t>
  </si>
  <si>
    <t xml:space="preserve">Celda de entrada: se edita a mano.</t>
  </si>
  <si>
    <t xml:space="preserve">Texto negro</t>
  </si>
  <si>
    <t xml:space="preserve">Celda calculada por formula: NO tocar.</t>
  </si>
  <si>
    <t xml:space="preserve">Texto verde</t>
  </si>
  <si>
    <t xml:space="preserve">Valor traido de otra hoja.</t>
  </si>
  <si>
    <t xml:space="preserve">Beige</t>
  </si>
  <si>
    <t xml:space="preserve">Parametro de balanceo: se puede tocar para ajustar el juego, pero afecta a todo el sistema.</t>
  </si>
  <si>
    <t xml:space="preserve">LA FORMULA</t>
  </si>
  <si>
    <t xml:space="preserve">Paso 1</t>
  </si>
  <si>
    <t xml:space="preserve">Puntaje base ponderado = promedio de los 4 atributos, pesado por la formacion elegida (Capa A1).</t>
  </si>
  <si>
    <t xml:space="preserve">Paso 2</t>
  </si>
  <si>
    <t xml:space="preserve">x Multiplicador de fit estilo-formacion (Capa A2).</t>
  </si>
  <si>
    <t xml:space="preserve">Paso 3</t>
  </si>
  <si>
    <t xml:space="preserve">x Multiplicador de matchup contra la formacion rival (Capa B).</t>
  </si>
  <si>
    <t xml:space="preserve">Paso 4</t>
  </si>
  <si>
    <t xml:space="preserve">+ variacion aleatoria acotada (tope fijo, por defecto +/- 8 puntos).</t>
  </si>
  <si>
    <t xml:space="preserve">Resultado</t>
  </si>
  <si>
    <t xml:space="preserve">Gana el cruce el DT con el puntaje final mas alto.</t>
  </si>
  <si>
    <t xml:space="preserve">POR QUE EL AZAR NO ROMPE EL JUEGO</t>
  </si>
  <si>
    <t xml:space="preserve">Regla de diseno</t>
  </si>
  <si>
    <t xml:space="preserve">El azar es un valor ABSOLUTO acotado (+/- 8), no un porcentaje del puntaje. Como el swing maximo entre dos DTs es de 16 puntos, ninguna diferencia de habilidad mayor a 16 puntos puede darse vuelta por suerte. Con diferencias chicas (empate tecnico), el azar si decide: eso es lo que hace que cada partida tenga tension.</t>
  </si>
  <si>
    <t xml:space="preserve">CAPA A1 - Ponderadores de formacion por atributo</t>
  </si>
  <si>
    <t xml:space="preserve">Cuanto potencia (&gt;1.00) o penaliza (&lt;1.00) cada formacion a cada atributo propio. Parametros de balanceo: editables.</t>
  </si>
  <si>
    <t xml:space="preserve">Formacion</t>
  </si>
  <si>
    <t xml:space="preserve">Ataque</t>
  </si>
  <si>
    <t xml:space="preserve">Creacion</t>
  </si>
  <si>
    <t xml:space="preserve">Defensa</t>
  </si>
  <si>
    <t xml:space="preserve">Presion</t>
  </si>
  <si>
    <t xml:space="preserve">Logica futbolistica</t>
  </si>
  <si>
    <t xml:space="preserve">4-3-3</t>
  </si>
  <si>
    <t xml:space="preserve">Trio de mediocampo = maxima creacion y triangulos; solo 4 atras y extremos que no siempre vuelven = defensa floja.</t>
  </si>
  <si>
    <t xml:space="preserve">4-2-3-1</t>
  </si>
  <si>
    <t xml:space="preserve">Doble pivote + enganche: equilibrio total, buena creacion sin desproteger el fondo. El sistema mas 'neutro'.</t>
  </si>
  <si>
    <t xml:space="preserve">4-4-2</t>
  </si>
  <si>
    <t xml:space="preserve">Dos lineas de cuatro muy compactas y dos puntas para el juego directo; en el medio con solo 2 centrales pierde la creacion.</t>
  </si>
  <si>
    <t xml:space="preserve">3-5-2 / 5-3-2</t>
  </si>
  <si>
    <t xml:space="preserve">Central extra = colchon de cobertura, maxima solidez; pocos hombres arriba y carrileros que deben recorrer todo el carril = ataque y presion bajos.</t>
  </si>
  <si>
    <t xml:space="preserve">3-4-3</t>
  </si>
  <si>
    <t xml:space="preserve">Mucha gente arriba y en el medio = ataque y presion altos; linea de 3 atras = el punto mas fragil del sistema.</t>
  </si>
  <si>
    <t xml:space="preserve">Nota:</t>
  </si>
  <si>
    <t xml:space="preserve">Valores fijados por criterio de diseno (no hay dato publico que asigne un numero a esto). Son la palanca principal de balanceo del juego.</t>
  </si>
  <si>
    <t xml:space="preserve">CAPA A2 - Fit entre modelo de juego y formacion</t>
  </si>
  <si>
    <t xml:space="preserve">Responde: 'la formacion que elegi, sirve para el futbol que quiero jugar?'. Multiplicador sobre el puntaje propio.</t>
  </si>
  <si>
    <t xml:space="preserve">MULTIPLICADORES (los usa la Calculadora)</t>
  </si>
  <si>
    <t xml:space="preserve">Estilo \ Formacion</t>
  </si>
  <si>
    <t xml:space="preserve">Posesion</t>
  </si>
  <si>
    <t xml:space="preserve">Contraataque / Directo</t>
  </si>
  <si>
    <t xml:space="preserve">Presion alta</t>
  </si>
  <si>
    <t xml:space="preserve">Bloque bajo / Repliegue</t>
  </si>
  <si>
    <t xml:space="preserve">MISMA TABLA EN PALABRAS (referencia, no se usa en el calculo)</t>
  </si>
  <si>
    <t xml:space="preserve">Alto</t>
  </si>
  <si>
    <t xml:space="preserve">Bajo</t>
  </si>
  <si>
    <t xml:space="preserve">Medio-alto</t>
  </si>
  <si>
    <t xml:space="preserve">Medio</t>
  </si>
  <si>
    <t xml:space="preserve">Medio-bajo</t>
  </si>
  <si>
    <t xml:space="preserve">ESCALA</t>
  </si>
  <si>
    <t xml:space="preserve">La formacion es el vehiculo natural de ese modelo de juego.</t>
  </si>
  <si>
    <t xml:space="preserve">Funciona bien, con alguna friccion.</t>
  </si>
  <si>
    <t xml:space="preserve">Ni ayuda ni molesta.</t>
  </si>
  <si>
    <t xml:space="preserve">Se puede, pero remando.</t>
  </si>
  <si>
    <t xml:space="preserve">La estructura contradice al modelo de juego: no se generan las conexiones que el estilo necesita.</t>
  </si>
  <si>
    <t xml:space="preserve">CAPA B - Matriz de matchup: mi formacion CONTRA la formacion rival</t>
  </si>
  <si>
    <t xml:space="preserve">Fila = mi formacion. Columna = formacion del rival. &gt;1.00 = le gano la zona; &lt;1.00 = me la gana. Cada par suma 2.00 (antisimetrica).</t>
  </si>
  <si>
    <t xml:space="preserve">Mi formacion \ Rival</t>
  </si>
  <si>
    <t xml:space="preserve">CONTROL: cada par debe sumar 2.00</t>
  </si>
  <si>
    <t xml:space="preserve">Suma X vs Y</t>
  </si>
  <si>
    <t xml:space="preserve">CICLOS NO TRANSITIVOS (por que no existe una formacion 'meta' invencible)</t>
  </si>
  <si>
    <t xml:space="preserve">Ciclo 1:  4-3-3  le gana a  4-4-2  |  4-4-2  le gana a  3-4-3  |  3-4-3  le gana a  4-3-3</t>
  </si>
  <si>
    <t xml:space="preserve">Ciclo 2:  4-2-3-1  le gana a  3-4-3  |  3-4-3  le gana a  4-3-3  |  4-3-3  le gana a  3-5-2  |  3-5-2  le gana a  4-2-3-1</t>
  </si>
  <si>
    <t xml:space="preserve">Consecuencia de diseno: elegir formacion no es buscar 'la mejor', es leer contra que juega el rival. Eso premia conocimiento futbolistico, no memorizar una tabla.</t>
  </si>
  <si>
    <t xml:space="preserve">CALCULADORA DE CRUCE 1v1</t>
  </si>
  <si>
    <t xml:space="preserve">Cargar los datos de los dos DTs en las celdas amarillas. El resto se calcula solo.</t>
  </si>
  <si>
    <t xml:space="preserve">ENTRADAS</t>
  </si>
  <si>
    <t xml:space="preserve">DT A</t>
  </si>
  <si>
    <t xml:space="preserve">DT B</t>
  </si>
  <si>
    <t xml:space="preserve">Nota</t>
  </si>
  <si>
    <t xml:space="preserve">Ataque (0-100)</t>
  </si>
  <si>
    <t xml:space="preserve">Sale de fichajes ofensivos, sobres de delanteros, decisiones de temporada.</t>
  </si>
  <si>
    <t xml:space="preserve">Creacion (0-100)</t>
  </si>
  <si>
    <t xml:space="preserve">Volantes, enganches, decisiones de filosofia de juego.</t>
  </si>
  <si>
    <t xml:space="preserve">Defensa (0-100)</t>
  </si>
  <si>
    <t xml:space="preserve">Zagueros, arquero, decisiones de bloque.</t>
  </si>
  <si>
    <t xml:space="preserve">Presion / Aguante (0-100)</t>
  </si>
  <si>
    <t xml:space="preserve">Estado fisico del plantel, rotaciones, cohesion de vestuario.</t>
  </si>
  <si>
    <t xml:space="preserve">Elegir de la lista desplegable.</t>
  </si>
  <si>
    <t xml:space="preserve">Modelo de juego</t>
  </si>
  <si>
    <t xml:space="preserve">Variacion aleatoria (tirada)</t>
  </si>
  <si>
    <t xml:space="preserve">En el juego lo tira el motor. Debe caer entre -Tope y +Tope (celda B14).</t>
  </si>
  <si>
    <t xml:space="preserve">PARAMETRO DE BALANCEO</t>
  </si>
  <si>
    <t xml:space="preserve">Tope de azar (+/-)</t>
  </si>
  <si>
    <t xml:space="preserve">Subirlo = mas suerte, mas caotico. Bajarlo = mas puro conocimiento tactico.</t>
  </si>
  <si>
    <t xml:space="preserve">Swing maximo entre DTs</t>
  </si>
  <si>
    <t xml:space="preserve">Diferencia de puntaje que el azar puede dar vuelta como maximo.</t>
  </si>
  <si>
    <t xml:space="preserve">CALCULO</t>
  </si>
  <si>
    <t xml:space="preserve">De donde sale</t>
  </si>
  <si>
    <t xml:space="preserve">Peso Ataque</t>
  </si>
  <si>
    <t xml:space="preserve">Capa_A1_Pesos</t>
  </si>
  <si>
    <t xml:space="preserve">Peso Creacion</t>
  </si>
  <si>
    <t xml:space="preserve">Peso Defensa</t>
  </si>
  <si>
    <t xml:space="preserve">Peso Presion</t>
  </si>
  <si>
    <t xml:space="preserve">Puntaje base ponderado</t>
  </si>
  <si>
    <t xml:space="preserve">Promedio de los 4 atributos, pesado por la formacion (Paso 1).</t>
  </si>
  <si>
    <t xml:space="preserve">x Fit estilo-formacion (Capa A2)</t>
  </si>
  <si>
    <t xml:space="preserve">Capa_A2_Fit (Paso 2).</t>
  </si>
  <si>
    <t xml:space="preserve">x Matchup vs rival (Capa B)</t>
  </si>
  <si>
    <t xml:space="preserve">Capa_B_Matchup, cruzando su formacion contra la del rival (Paso 3).</t>
  </si>
  <si>
    <t xml:space="preserve">Puntaje ajustado (sin azar)</t>
  </si>
  <si>
    <t xml:space="preserve">Este es el puntaje que refleja PURO conocimiento tactico.</t>
  </si>
  <si>
    <t xml:space="preserve">Variacion aleatoria (Paso 4)</t>
  </si>
  <si>
    <t xml:space="preserve">Paso 4.</t>
  </si>
  <si>
    <t xml:space="preserve">RESULTADO FINAL DEL CRUCE</t>
  </si>
  <si>
    <t xml:space="preserve">VEREDICTO</t>
  </si>
  <si>
    <t xml:space="preserve">Gana el cruce</t>
  </si>
  <si>
    <t xml:space="preserve">Diferencia final</t>
  </si>
  <si>
    <t xml:space="preserve">Diferencia por tactica (sin azar)</t>
  </si>
  <si>
    <t xml:space="preserve">El azar podia dar vuelta este cruce?</t>
  </si>
  <si>
    <t xml:space="preserve">Coincide el ganador tactico con el final?</t>
  </si>
  <si>
    <t xml:space="preserve">TEST DE BALANCE - el azar no puede dar vuelta una brecha de conocimiento</t>
  </si>
  <si>
    <t xml:space="preserve">Cada fila calcula el puntaje ajustado (sin azar) de los dos DTs y verifica si el swing maximo del azar alcanza para revertirlo.</t>
  </si>
  <si>
    <t xml:space="preserve">Escenario</t>
  </si>
  <si>
    <t xml:space="preserve">Atq A</t>
  </si>
  <si>
    <t xml:space="preserve">Cre A</t>
  </si>
  <si>
    <t xml:space="preserve">Def A</t>
  </si>
  <si>
    <t xml:space="preserve">Pre A</t>
  </si>
  <si>
    <t xml:space="preserve">Formacion A</t>
  </si>
  <si>
    <t xml:space="preserve">Estilo A</t>
  </si>
  <si>
    <t xml:space="preserve">Atq B</t>
  </si>
  <si>
    <t xml:space="preserve">Cre B</t>
  </si>
  <si>
    <t xml:space="preserve">Def B</t>
  </si>
  <si>
    <t xml:space="preserve">Pre B</t>
  </si>
  <si>
    <t xml:space="preserve">Formacion B</t>
  </si>
  <si>
    <t xml:space="preserve">Estilo B</t>
  </si>
  <si>
    <t xml:space="preserve">Ajustado A</t>
  </si>
  <si>
    <t xml:space="preserve">Ajustado B</t>
  </si>
  <si>
    <t xml:space="preserve">Brecha</t>
  </si>
  <si>
    <t xml:space="preserve">Puede el azar darlo vuelta?</t>
  </si>
  <si>
    <t xml:space="preserve">1. Crack tactico vs desastre</t>
  </si>
  <si>
    <t xml:space="preserve">2. Mismo plantel, uno lo usa bien</t>
  </si>
  <si>
    <t xml:space="preserve">3. Empate tecnico (el azar decide)</t>
  </si>
  <si>
    <t xml:space="preserve">4. Plantel flojo pero bien leido</t>
  </si>
  <si>
    <t xml:space="preserve">5. Plantel top pero mal usado</t>
  </si>
  <si>
    <t xml:space="preserve">Lectura:</t>
  </si>
  <si>
    <t xml:space="preserve">Escenarios 1 y 5: brecha grande -&gt; el azar no llega, gana el que sabe. Escenario 2: mismo plantel exacto, distinta lectura -&gt; la brecha la genera SOLO la decision tactica. Escenario 3: empate tecnico -&gt; ahi si el azar decide, y esta bien que asi sea.</t>
  </si>
  <si>
    <t xml:space="preserve">NOTAS TACTICAS - justificacion de los numeros</t>
  </si>
  <si>
    <t xml:space="preserve">Cruce / Concepto</t>
  </si>
  <si>
    <t xml:space="preserve">Que dice el modelo</t>
  </si>
  <si>
    <t xml:space="preserve">Fundamento futbolistico</t>
  </si>
  <si>
    <t xml:space="preserve">Fuente</t>
  </si>
  <si>
    <t xml:space="preserve">4-4-2 vs sistemas de 3 volantes (4-3-3, 4-2-3-1, 3-5-2, 3-4-3)</t>
  </si>
  <si>
    <t xml:space="preserve">4-4-2 penalizado (0.94 - 0.96)</t>
  </si>
  <si>
    <t xml:space="preserve">Con solo dos volantes centrales, el 4-4-2 queda en inferioridad numerica en el circulo central contra cualquier sistema de tres medios, y pierde el control de la pelota.</t>
  </si>
  <si>
    <t xml:space="preserve">The Coaches' Voice / analisis de formaciones</t>
  </si>
  <si>
    <t xml:space="preserve">4-2-3-1 vs 4-4-2</t>
  </si>
  <si>
    <t xml:space="preserve">4-2-3-1 con ventaja (1.05)</t>
  </si>
  <si>
    <t xml:space="preserve">El doble pivote mas el enganche que baja generan superioridad numerica en el centro justamente contra rivales que forman una primera linea de dos volantes.</t>
  </si>
  <si>
    <t xml:space="preserve">The Coaches' Voice</t>
  </si>
  <si>
    <t xml:space="preserve">4-3-3 vs 3-5-2 / 5-3-2</t>
  </si>
  <si>
    <t xml:space="preserve">4-3-3 con ventaja (1.04)</t>
  </si>
  <si>
    <t xml:space="preserve">El 4-3-3 pierde el pulso central (3 contra 5) pero castiga el espacio que dejan los carrileros al subir. Es el contra clasico por amplitud.</t>
  </si>
  <si>
    <t xml:space="preserve">Analisis de contras al 3-5-2</t>
  </si>
  <si>
    <t xml:space="preserve">3-5-2 / 5-3-2 vs 4-4-2</t>
  </si>
  <si>
    <t xml:space="preserve">3-5-2 con ventaja (1.04)</t>
  </si>
  <si>
    <t xml:space="preserve">El 4-4-2 sufre especificamente contra el 3-5-2: sus volantes quedan facilmente superados en numero.</t>
  </si>
  <si>
    <t xml:space="preserve">The PFSA - formaciones de futbol</t>
  </si>
  <si>
    <t xml:space="preserve">3-4-3 vs 4-3-3</t>
  </si>
  <si>
    <t xml:space="preserve">3-4-3 con ventaja (1.05)</t>
  </si>
  <si>
    <t xml:space="preserve">Cuatro volantes contra tres, mas los extremos atacando a los laterales, generan sobrecarga. El costo es la fragilidad de la linea de 3.</t>
  </si>
  <si>
    <t xml:space="preserve">Criterio de superioridad numerica por zona</t>
  </si>
  <si>
    <t xml:space="preserve">4-4-2 vs 3-4-3</t>
  </si>
  <si>
    <t xml:space="preserve">4-4-2 con ventaja (1.05)</t>
  </si>
  <si>
    <t xml:space="preserve">Las dos lineas de cuatro cierran los espacios interiores y el juego directo castiga la linea de 3 en las transiciones.</t>
  </si>
  <si>
    <t xml:space="preserve">Posesion en 4-3-3 / 4-2-3-1</t>
  </si>
  <si>
    <t xml:space="preserve">Fit Alto (1.12)</t>
  </si>
  <si>
    <t xml:space="preserve">El trio de mediocampo y el enganche generan los triangulos y las conexiones cortas que la posesion necesita. Son los vehiculos naturales del estilo.</t>
  </si>
  <si>
    <t xml:space="preserve">Guias tacticas de formaciones</t>
  </si>
  <si>
    <t xml:space="preserve">Posesion en 4-4-2 plano</t>
  </si>
  <si>
    <t xml:space="preserve">Fit Bajo (0.86)</t>
  </si>
  <si>
    <t xml:space="preserve">Dos lineas separadas de cuatro no generan triangulos ni opciones de pase corto: la estructura contradice al modelo de juego.</t>
  </si>
  <si>
    <t xml:space="preserve">Criterio de diseno + analisis del 4-4-2</t>
  </si>
  <si>
    <t xml:space="preserve">Bloque bajo en 4-3-3</t>
  </si>
  <si>
    <t xml:space="preserve">El 4-3-3 replegado deja al delantero centro aislado y sin apoyo, sin salida posible tras la recuperacion.</t>
  </si>
  <si>
    <t xml:space="preserve">Bloque bajo en 4-4-2 y 3-5-2 / 5-3-2</t>
  </si>
  <si>
    <t xml:space="preserve">Dos lineas de cuatro muy compactas, o un central extra de cobertura, son las estructuras pensadas para defender el area.</t>
  </si>
  <si>
    <t xml:space="preserve">Presion alta en 3-5-2 / 5-3-2</t>
  </si>
  <si>
    <t xml:space="preserve">La estructura esta pensada para replegar, no para adelantar el bloque; los carrileros no llegan a sostener la presion arriba.</t>
  </si>
  <si>
    <t xml:space="preserve">Criterio de diseno + analisis del 3-5-2</t>
  </si>
  <si>
    <t xml:space="preserve">Aclaracion sobre las fuentes</t>
  </si>
  <si>
    <t xml:space="preserve">-</t>
  </si>
  <si>
    <t xml:space="preserve">Los CONCEPTOS (quien le gana la zona a quien, y por que) salen de analisis tactico profesional. Los NUMEROS son criterio de diseno propio: no existe dato publico confiable que asigne un multiplicador a un cruce de formaciones. Todos los valores son editables para balancear.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</si>
</sst>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10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80808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C6EFCE"/>
        <bgColor rgb="FFD9E2F3"/>
      </patternFill>
    </fill>
    <fill>
      <patternFill patternType="solid">
        <fgColor rgb="FFFFC7CE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</row>
    <row r="5" customFormat="false" ht="15" hidden="false" customHeight="false" outlineLevel="0" collapsed="false">
      <c r="A5" s="4" t="s">
        <v>2</v>
      </c>
    </row>
    <row r="6" customFormat="false" ht="23.85" hidden="false" customHeight="false" outlineLevel="0" collapsed="false">
      <c r="A6" s="3" t="s">
        <v>3</v>
      </c>
      <c r="B6" s="5" t="s">
        <v>4</v>
      </c>
    </row>
    <row r="7" customFormat="false" ht="23.85" hidden="false" customHeight="false" outlineLevel="0" collapsed="false">
      <c r="A7" s="3" t="s">
        <v>5</v>
      </c>
      <c r="B7" s="5" t="s">
        <v>6</v>
      </c>
    </row>
    <row r="8" customFormat="false" ht="15" hidden="false" customHeight="false" outlineLevel="0" collapsed="false">
      <c r="A8" s="3" t="s">
        <v>7</v>
      </c>
      <c r="B8" s="5" t="s">
        <v>8</v>
      </c>
    </row>
    <row r="9" customFormat="false" ht="23.85" hidden="false" customHeight="false" outlineLevel="0" collapsed="false">
      <c r="A9" s="3" t="s">
        <v>9</v>
      </c>
      <c r="B9" s="5" t="s">
        <v>10</v>
      </c>
    </row>
    <row r="10" customFormat="false" ht="15" hidden="false" customHeight="false" outlineLevel="0" collapsed="false">
      <c r="A10" s="3" t="s">
        <v>11</v>
      </c>
      <c r="B10" s="5" t="s">
        <v>12</v>
      </c>
    </row>
    <row r="11" customFormat="false" ht="15" hidden="false" customHeight="false" outlineLevel="0" collapsed="false">
      <c r="A11" s="3" t="s">
        <v>13</v>
      </c>
      <c r="B11" s="5" t="s">
        <v>14</v>
      </c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4" t="s">
        <v>15</v>
      </c>
    </row>
    <row r="14" customFormat="false" ht="15" hidden="false" customHeight="false" outlineLevel="0" collapsed="false">
      <c r="A14" s="3" t="s">
        <v>16</v>
      </c>
      <c r="B14" s="5" t="s">
        <v>17</v>
      </c>
    </row>
    <row r="15" customFormat="false" ht="15" hidden="false" customHeight="false" outlineLevel="0" collapsed="false">
      <c r="A15" s="3" t="s">
        <v>18</v>
      </c>
      <c r="B15" s="5" t="s">
        <v>19</v>
      </c>
    </row>
    <row r="16" customFormat="false" ht="15" hidden="false" customHeight="false" outlineLevel="0" collapsed="false">
      <c r="A16" s="3" t="s">
        <v>20</v>
      </c>
      <c r="B16" s="5" t="s">
        <v>21</v>
      </c>
    </row>
    <row r="17" customFormat="false" ht="15" hidden="false" customHeight="false" outlineLevel="0" collapsed="false">
      <c r="A17" s="3" t="s">
        <v>22</v>
      </c>
      <c r="B17" s="5" t="s">
        <v>23</v>
      </c>
    </row>
    <row r="18" customFormat="false" ht="15" hidden="false" customHeight="false" outlineLevel="0" collapsed="false">
      <c r="A18" s="3"/>
    </row>
    <row r="19" customFormat="false" ht="15" hidden="false" customHeight="false" outlineLevel="0" collapsed="false">
      <c r="A19" s="4" t="s">
        <v>24</v>
      </c>
    </row>
    <row r="20" customFormat="false" ht="15" hidden="false" customHeight="false" outlineLevel="0" collapsed="false">
      <c r="A20" s="3" t="s">
        <v>25</v>
      </c>
      <c r="B20" s="5" t="s">
        <v>26</v>
      </c>
    </row>
    <row r="21" customFormat="false" ht="15" hidden="false" customHeight="false" outlineLevel="0" collapsed="false">
      <c r="A21" s="3" t="s">
        <v>27</v>
      </c>
      <c r="B21" s="5" t="s">
        <v>28</v>
      </c>
    </row>
    <row r="22" customFormat="false" ht="15" hidden="false" customHeight="false" outlineLevel="0" collapsed="false">
      <c r="A22" s="3" t="s">
        <v>29</v>
      </c>
      <c r="B22" s="5" t="s">
        <v>30</v>
      </c>
    </row>
    <row r="23" customFormat="false" ht="15" hidden="false" customHeight="false" outlineLevel="0" collapsed="false">
      <c r="A23" s="3" t="s">
        <v>31</v>
      </c>
      <c r="B23" s="5" t="s">
        <v>32</v>
      </c>
    </row>
    <row r="24" customFormat="false" ht="15" hidden="false" customHeight="false" outlineLevel="0" collapsed="false">
      <c r="A24" s="3" t="s">
        <v>33</v>
      </c>
      <c r="B24" s="5" t="s">
        <v>34</v>
      </c>
    </row>
    <row r="25" customFormat="false" ht="15" hidden="false" customHeight="false" outlineLevel="0" collapsed="false">
      <c r="A25" s="3"/>
    </row>
    <row r="26" customFormat="false" ht="15" hidden="false" customHeight="false" outlineLevel="0" collapsed="false">
      <c r="A26" s="4" t="s">
        <v>35</v>
      </c>
    </row>
    <row r="27" customFormat="false" ht="35.05" hidden="false" customHeight="false" outlineLevel="0" collapsed="false">
      <c r="A27" s="3" t="s">
        <v>36</v>
      </c>
      <c r="B27" s="5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5" min="2" style="0" width="11"/>
    <col collapsed="false" customWidth="true" hidden="false" outlineLevel="0" max="6" min="6" style="0" width="85"/>
  </cols>
  <sheetData>
    <row r="1" customFormat="false" ht="17.35" hidden="false" customHeight="false" outlineLevel="0" collapsed="false">
      <c r="A1" s="1" t="s">
        <v>38</v>
      </c>
    </row>
    <row r="2" customFormat="false" ht="15" hidden="false" customHeight="false" outlineLevel="0" collapsed="false">
      <c r="A2" s="2" t="s">
        <v>39</v>
      </c>
    </row>
    <row r="3" customFormat="false" ht="15" hidden="false" customHeight="false" outlineLevel="0" collapsed="false">
      <c r="A3" s="6" t="s">
        <v>40</v>
      </c>
      <c r="B3" s="6" t="s">
        <v>41</v>
      </c>
      <c r="C3" s="6" t="s">
        <v>42</v>
      </c>
      <c r="D3" s="6" t="s">
        <v>43</v>
      </c>
      <c r="E3" s="6" t="s">
        <v>44</v>
      </c>
      <c r="F3" s="6" t="s">
        <v>45</v>
      </c>
    </row>
    <row r="4" customFormat="false" ht="33.75" hidden="false" customHeight="true" outlineLevel="0" collapsed="false">
      <c r="A4" s="7" t="s">
        <v>46</v>
      </c>
      <c r="B4" s="8" t="n">
        <v>1.1</v>
      </c>
      <c r="C4" s="8" t="n">
        <v>1.3</v>
      </c>
      <c r="D4" s="8" t="n">
        <v>0.9</v>
      </c>
      <c r="E4" s="8" t="n">
        <v>1.05</v>
      </c>
      <c r="F4" s="9" t="s">
        <v>47</v>
      </c>
    </row>
    <row r="5" customFormat="false" ht="33.75" hidden="false" customHeight="true" outlineLevel="0" collapsed="false">
      <c r="A5" s="7" t="s">
        <v>48</v>
      </c>
      <c r="B5" s="8" t="n">
        <v>1.05</v>
      </c>
      <c r="C5" s="8" t="n">
        <v>1.2</v>
      </c>
      <c r="D5" s="8" t="n">
        <v>1.05</v>
      </c>
      <c r="E5" s="8" t="n">
        <v>1</v>
      </c>
      <c r="F5" s="9" t="s">
        <v>49</v>
      </c>
    </row>
    <row r="6" customFormat="false" ht="33.75" hidden="false" customHeight="true" outlineLevel="0" collapsed="false">
      <c r="A6" s="7" t="s">
        <v>50</v>
      </c>
      <c r="B6" s="8" t="n">
        <v>1.15</v>
      </c>
      <c r="C6" s="8" t="n">
        <v>0.85</v>
      </c>
      <c r="D6" s="8" t="n">
        <v>1.1</v>
      </c>
      <c r="E6" s="8" t="n">
        <v>1.05</v>
      </c>
      <c r="F6" s="9" t="s">
        <v>51</v>
      </c>
    </row>
    <row r="7" customFormat="false" ht="33.75" hidden="false" customHeight="true" outlineLevel="0" collapsed="false">
      <c r="A7" s="7" t="s">
        <v>52</v>
      </c>
      <c r="B7" s="8" t="n">
        <v>0.85</v>
      </c>
      <c r="C7" s="8" t="n">
        <v>1.05</v>
      </c>
      <c r="D7" s="8" t="n">
        <v>1.25</v>
      </c>
      <c r="E7" s="8" t="n">
        <v>0.9</v>
      </c>
      <c r="F7" s="9" t="s">
        <v>53</v>
      </c>
    </row>
    <row r="8" customFormat="false" ht="33.75" hidden="false" customHeight="true" outlineLevel="0" collapsed="false">
      <c r="A8" s="7" t="s">
        <v>54</v>
      </c>
      <c r="B8" s="8" t="n">
        <v>1.3</v>
      </c>
      <c r="C8" s="8" t="n">
        <v>1.1</v>
      </c>
      <c r="D8" s="8" t="n">
        <v>0.75</v>
      </c>
      <c r="E8" s="8" t="n">
        <v>1.15</v>
      </c>
      <c r="F8" s="9" t="s">
        <v>55</v>
      </c>
    </row>
    <row r="10" customFormat="false" ht="15" hidden="false" customHeight="false" outlineLevel="0" collapsed="false">
      <c r="A10" s="3" t="s">
        <v>56</v>
      </c>
      <c r="B10" s="10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6" min="2" style="0" width="15"/>
  </cols>
  <sheetData>
    <row r="1" customFormat="false" ht="17.35" hidden="false" customHeight="false" outlineLevel="0" collapsed="false">
      <c r="A1" s="1" t="s">
        <v>58</v>
      </c>
    </row>
    <row r="2" customFormat="false" ht="15" hidden="false" customHeight="false" outlineLevel="0" collapsed="false">
      <c r="A2" s="2" t="s">
        <v>59</v>
      </c>
    </row>
    <row r="4" customFormat="false" ht="15" hidden="false" customHeight="false" outlineLevel="0" collapsed="false">
      <c r="A4" s="4" t="s">
        <v>60</v>
      </c>
    </row>
    <row r="5" customFormat="false" ht="15" hidden="false" customHeight="false" outlineLevel="0" collapsed="false">
      <c r="A5" s="6" t="s">
        <v>61</v>
      </c>
      <c r="B5" s="6" t="s">
        <v>46</v>
      </c>
      <c r="C5" s="6" t="s">
        <v>48</v>
      </c>
      <c r="D5" s="6" t="s">
        <v>50</v>
      </c>
      <c r="E5" s="6" t="s">
        <v>52</v>
      </c>
      <c r="F5" s="6" t="s">
        <v>54</v>
      </c>
    </row>
    <row r="6" customFormat="false" ht="15" hidden="false" customHeight="false" outlineLevel="0" collapsed="false">
      <c r="A6" s="7" t="s">
        <v>62</v>
      </c>
      <c r="B6" s="8" t="n">
        <v>1.12</v>
      </c>
      <c r="C6" s="8" t="n">
        <v>1.12</v>
      </c>
      <c r="D6" s="8" t="n">
        <v>0.86</v>
      </c>
      <c r="E6" s="8" t="n">
        <v>1.06</v>
      </c>
      <c r="F6" s="8" t="n">
        <v>1</v>
      </c>
    </row>
    <row r="7" customFormat="false" ht="15" hidden="false" customHeight="false" outlineLevel="0" collapsed="false">
      <c r="A7" s="7" t="s">
        <v>63</v>
      </c>
      <c r="B7" s="8" t="n">
        <v>1</v>
      </c>
      <c r="C7" s="8" t="n">
        <v>1</v>
      </c>
      <c r="D7" s="8" t="n">
        <v>1.12</v>
      </c>
      <c r="E7" s="8" t="n">
        <v>0.94</v>
      </c>
      <c r="F7" s="8" t="n">
        <v>1.12</v>
      </c>
    </row>
    <row r="8" customFormat="false" ht="15" hidden="false" customHeight="false" outlineLevel="0" collapsed="false">
      <c r="A8" s="7" t="s">
        <v>64</v>
      </c>
      <c r="B8" s="8" t="n">
        <v>1.12</v>
      </c>
      <c r="C8" s="8" t="n">
        <v>1.12</v>
      </c>
      <c r="D8" s="8" t="n">
        <v>1</v>
      </c>
      <c r="E8" s="8" t="n">
        <v>0.86</v>
      </c>
      <c r="F8" s="8" t="n">
        <v>1.06</v>
      </c>
    </row>
    <row r="9" customFormat="false" ht="15" hidden="false" customHeight="false" outlineLevel="0" collapsed="false">
      <c r="A9" s="7" t="s">
        <v>65</v>
      </c>
      <c r="B9" s="8" t="n">
        <v>0.86</v>
      </c>
      <c r="C9" s="8" t="n">
        <v>1</v>
      </c>
      <c r="D9" s="8" t="n">
        <v>1.12</v>
      </c>
      <c r="E9" s="8" t="n">
        <v>1.12</v>
      </c>
      <c r="F9" s="8" t="n">
        <v>0.86</v>
      </c>
    </row>
    <row r="12" customFormat="false" ht="15" hidden="false" customHeight="false" outlineLevel="0" collapsed="false">
      <c r="A12" s="4" t="s">
        <v>66</v>
      </c>
    </row>
    <row r="13" customFormat="false" ht="15" hidden="false" customHeight="false" outlineLevel="0" collapsed="false">
      <c r="A13" s="6" t="s">
        <v>61</v>
      </c>
      <c r="B13" s="6" t="s">
        <v>46</v>
      </c>
      <c r="C13" s="6" t="s">
        <v>48</v>
      </c>
      <c r="D13" s="6" t="s">
        <v>50</v>
      </c>
      <c r="E13" s="6" t="s">
        <v>52</v>
      </c>
      <c r="F13" s="6" t="s">
        <v>54</v>
      </c>
    </row>
    <row r="14" customFormat="false" ht="15" hidden="false" customHeight="false" outlineLevel="0" collapsed="false">
      <c r="A14" s="7" t="s">
        <v>62</v>
      </c>
      <c r="B14" s="11" t="s">
        <v>67</v>
      </c>
      <c r="C14" s="11" t="s">
        <v>67</v>
      </c>
      <c r="D14" s="11" t="s">
        <v>68</v>
      </c>
      <c r="E14" s="11" t="s">
        <v>69</v>
      </c>
      <c r="F14" s="11" t="s">
        <v>70</v>
      </c>
    </row>
    <row r="15" customFormat="false" ht="15" hidden="false" customHeight="false" outlineLevel="0" collapsed="false">
      <c r="A15" s="7" t="s">
        <v>63</v>
      </c>
      <c r="B15" s="11" t="s">
        <v>70</v>
      </c>
      <c r="C15" s="11" t="s">
        <v>70</v>
      </c>
      <c r="D15" s="11" t="s">
        <v>67</v>
      </c>
      <c r="E15" s="11" t="s">
        <v>71</v>
      </c>
      <c r="F15" s="11" t="s">
        <v>67</v>
      </c>
    </row>
    <row r="16" customFormat="false" ht="15" hidden="false" customHeight="false" outlineLevel="0" collapsed="false">
      <c r="A16" s="7" t="s">
        <v>64</v>
      </c>
      <c r="B16" s="11" t="s">
        <v>67</v>
      </c>
      <c r="C16" s="11" t="s">
        <v>67</v>
      </c>
      <c r="D16" s="11" t="s">
        <v>70</v>
      </c>
      <c r="E16" s="11" t="s">
        <v>68</v>
      </c>
      <c r="F16" s="11" t="s">
        <v>69</v>
      </c>
    </row>
    <row r="17" customFormat="false" ht="15" hidden="false" customHeight="false" outlineLevel="0" collapsed="false">
      <c r="A17" s="7" t="s">
        <v>65</v>
      </c>
      <c r="B17" s="11" t="s">
        <v>68</v>
      </c>
      <c r="C17" s="11" t="s">
        <v>70</v>
      </c>
      <c r="D17" s="11" t="s">
        <v>67</v>
      </c>
      <c r="E17" s="11" t="s">
        <v>67</v>
      </c>
      <c r="F17" s="11" t="s">
        <v>68</v>
      </c>
    </row>
    <row r="19" customFormat="false" ht="15" hidden="false" customHeight="false" outlineLevel="0" collapsed="false">
      <c r="A19" s="4" t="s">
        <v>72</v>
      </c>
    </row>
    <row r="20" customFormat="false" ht="15" hidden="false" customHeight="false" outlineLevel="0" collapsed="false">
      <c r="A20" s="3" t="s">
        <v>67</v>
      </c>
      <c r="B20" s="12" t="n">
        <v>1.12</v>
      </c>
      <c r="C20" s="10" t="s">
        <v>73</v>
      </c>
    </row>
    <row r="21" customFormat="false" ht="15" hidden="false" customHeight="false" outlineLevel="0" collapsed="false">
      <c r="A21" s="3" t="s">
        <v>69</v>
      </c>
      <c r="B21" s="12" t="n">
        <v>1.06</v>
      </c>
      <c r="C21" s="10" t="s">
        <v>74</v>
      </c>
    </row>
    <row r="22" customFormat="false" ht="15" hidden="false" customHeight="false" outlineLevel="0" collapsed="false">
      <c r="A22" s="3" t="s">
        <v>70</v>
      </c>
      <c r="B22" s="12" t="n">
        <v>1</v>
      </c>
      <c r="C22" s="10" t="s">
        <v>75</v>
      </c>
    </row>
    <row r="23" customFormat="false" ht="15" hidden="false" customHeight="false" outlineLevel="0" collapsed="false">
      <c r="A23" s="3" t="s">
        <v>71</v>
      </c>
      <c r="B23" s="12" t="n">
        <v>0.94</v>
      </c>
      <c r="C23" s="10" t="s">
        <v>76</v>
      </c>
    </row>
    <row r="24" customFormat="false" ht="15" hidden="false" customHeight="false" outlineLevel="0" collapsed="false">
      <c r="A24" s="3" t="s">
        <v>68</v>
      </c>
      <c r="B24" s="12" t="n">
        <v>0.86</v>
      </c>
      <c r="C24" s="10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5"/>
  </cols>
  <sheetData>
    <row r="1" customFormat="false" ht="17.35" hidden="false" customHeight="false" outlineLevel="0" collapsed="false">
      <c r="A1" s="1" t="s">
        <v>78</v>
      </c>
    </row>
    <row r="2" customFormat="false" ht="15" hidden="false" customHeight="false" outlineLevel="0" collapsed="false">
      <c r="A2" s="2" t="s">
        <v>79</v>
      </c>
    </row>
    <row r="4" customFormat="false" ht="15" hidden="false" customHeight="false" outlineLevel="0" collapsed="false">
      <c r="A4" s="6" t="s">
        <v>80</v>
      </c>
      <c r="B4" s="6" t="s">
        <v>46</v>
      </c>
      <c r="C4" s="6" t="s">
        <v>48</v>
      </c>
      <c r="D4" s="6" t="s">
        <v>50</v>
      </c>
      <c r="E4" s="6" t="s">
        <v>52</v>
      </c>
      <c r="F4" s="6" t="s">
        <v>54</v>
      </c>
    </row>
    <row r="5" customFormat="false" ht="15" hidden="false" customHeight="false" outlineLevel="0" collapsed="false">
      <c r="A5" s="7" t="s">
        <v>46</v>
      </c>
      <c r="B5" s="8" t="n">
        <v>1</v>
      </c>
      <c r="C5" s="8" t="n">
        <v>1</v>
      </c>
      <c r="D5" s="13" t="n">
        <v>1.06</v>
      </c>
      <c r="E5" s="13" t="n">
        <v>1.04</v>
      </c>
      <c r="F5" s="14" t="n">
        <v>0.95</v>
      </c>
    </row>
    <row r="6" customFormat="false" ht="15" hidden="false" customHeight="false" outlineLevel="0" collapsed="false">
      <c r="A6" s="7" t="s">
        <v>48</v>
      </c>
      <c r="B6" s="8" t="n">
        <v>1</v>
      </c>
      <c r="C6" s="8" t="n">
        <v>1</v>
      </c>
      <c r="D6" s="13" t="n">
        <v>1.05</v>
      </c>
      <c r="E6" s="14" t="n">
        <v>0.97</v>
      </c>
      <c r="F6" s="13" t="n">
        <v>1.03</v>
      </c>
    </row>
    <row r="7" customFormat="false" ht="15" hidden="false" customHeight="false" outlineLevel="0" collapsed="false">
      <c r="A7" s="7" t="s">
        <v>50</v>
      </c>
      <c r="B7" s="14" t="n">
        <v>0.94</v>
      </c>
      <c r="C7" s="14" t="n">
        <v>0.95</v>
      </c>
      <c r="D7" s="8" t="n">
        <v>1</v>
      </c>
      <c r="E7" s="14" t="n">
        <v>0.96</v>
      </c>
      <c r="F7" s="13" t="n">
        <v>1.05</v>
      </c>
    </row>
    <row r="8" customFormat="false" ht="15" hidden="false" customHeight="false" outlineLevel="0" collapsed="false">
      <c r="A8" s="7" t="s">
        <v>52</v>
      </c>
      <c r="B8" s="14" t="n">
        <v>0.96</v>
      </c>
      <c r="C8" s="13" t="n">
        <v>1.03</v>
      </c>
      <c r="D8" s="13" t="n">
        <v>1.04</v>
      </c>
      <c r="E8" s="8" t="n">
        <v>1</v>
      </c>
      <c r="F8" s="13" t="n">
        <v>1.06</v>
      </c>
    </row>
    <row r="9" customFormat="false" ht="15" hidden="false" customHeight="false" outlineLevel="0" collapsed="false">
      <c r="A9" s="7" t="s">
        <v>54</v>
      </c>
      <c r="B9" s="13" t="n">
        <v>1.05</v>
      </c>
      <c r="C9" s="14" t="n">
        <v>0.97</v>
      </c>
      <c r="D9" s="14" t="n">
        <v>0.95</v>
      </c>
      <c r="E9" s="14" t="n">
        <v>0.94</v>
      </c>
      <c r="F9" s="8" t="n">
        <v>1</v>
      </c>
    </row>
    <row r="11" customFormat="false" ht="15" hidden="false" customHeight="false" outlineLevel="0" collapsed="false">
      <c r="A11" s="4" t="s">
        <v>81</v>
      </c>
    </row>
    <row r="12" customFormat="false" ht="15" hidden="false" customHeight="false" outlineLevel="0" collapsed="false">
      <c r="A12" s="6" t="s">
        <v>82</v>
      </c>
      <c r="B12" s="6" t="s">
        <v>46</v>
      </c>
      <c r="C12" s="6" t="s">
        <v>48</v>
      </c>
      <c r="D12" s="6" t="s">
        <v>50</v>
      </c>
      <c r="E12" s="6" t="s">
        <v>52</v>
      </c>
      <c r="F12" s="6" t="s">
        <v>54</v>
      </c>
    </row>
    <row r="13" customFormat="false" ht="15" hidden="false" customHeight="false" outlineLevel="0" collapsed="false">
      <c r="A13" s="7" t="s">
        <v>46</v>
      </c>
      <c r="B13" s="15" t="n">
        <f aca="false">B5+B5</f>
        <v>2</v>
      </c>
      <c r="C13" s="15" t="n">
        <f aca="false">C5+B6</f>
        <v>2</v>
      </c>
      <c r="D13" s="15" t="n">
        <f aca="false">D5+B7</f>
        <v>2</v>
      </c>
      <c r="E13" s="15" t="n">
        <f aca="false">E5+B8</f>
        <v>2</v>
      </c>
      <c r="F13" s="15" t="n">
        <f aca="false">F5+B9</f>
        <v>2</v>
      </c>
    </row>
    <row r="14" customFormat="false" ht="15" hidden="false" customHeight="false" outlineLevel="0" collapsed="false">
      <c r="A14" s="7" t="s">
        <v>48</v>
      </c>
      <c r="B14" s="15" t="n">
        <f aca="false">B6+C5</f>
        <v>2</v>
      </c>
      <c r="C14" s="15" t="n">
        <f aca="false">C6+C6</f>
        <v>2</v>
      </c>
      <c r="D14" s="15" t="n">
        <f aca="false">D6+C7</f>
        <v>2</v>
      </c>
      <c r="E14" s="15" t="n">
        <f aca="false">E6+C8</f>
        <v>2</v>
      </c>
      <c r="F14" s="15" t="n">
        <f aca="false">F6+C9</f>
        <v>2</v>
      </c>
    </row>
    <row r="15" customFormat="false" ht="15" hidden="false" customHeight="false" outlineLevel="0" collapsed="false">
      <c r="A15" s="7" t="s">
        <v>50</v>
      </c>
      <c r="B15" s="15" t="n">
        <f aca="false">B7+D5</f>
        <v>2</v>
      </c>
      <c r="C15" s="15" t="n">
        <f aca="false">C7+D6</f>
        <v>2</v>
      </c>
      <c r="D15" s="15" t="n">
        <f aca="false">D7+D7</f>
        <v>2</v>
      </c>
      <c r="E15" s="15" t="n">
        <f aca="false">E7+D8</f>
        <v>2</v>
      </c>
      <c r="F15" s="15" t="n">
        <f aca="false">F7+D9</f>
        <v>2</v>
      </c>
    </row>
    <row r="16" customFormat="false" ht="15" hidden="false" customHeight="false" outlineLevel="0" collapsed="false">
      <c r="A16" s="7" t="s">
        <v>52</v>
      </c>
      <c r="B16" s="15" t="n">
        <f aca="false">B8+E5</f>
        <v>2</v>
      </c>
      <c r="C16" s="15" t="n">
        <f aca="false">C8+E6</f>
        <v>2</v>
      </c>
      <c r="D16" s="15" t="n">
        <f aca="false">D8+E7</f>
        <v>2</v>
      </c>
      <c r="E16" s="15" t="n">
        <f aca="false">E8+E8</f>
        <v>2</v>
      </c>
      <c r="F16" s="15" t="n">
        <f aca="false">F8+E9</f>
        <v>2</v>
      </c>
    </row>
    <row r="17" customFormat="false" ht="15" hidden="false" customHeight="false" outlineLevel="0" collapsed="false">
      <c r="A17" s="7" t="s">
        <v>54</v>
      </c>
      <c r="B17" s="15" t="n">
        <f aca="false">B9+F5</f>
        <v>2</v>
      </c>
      <c r="C17" s="15" t="n">
        <f aca="false">C9+F6</f>
        <v>2</v>
      </c>
      <c r="D17" s="15" t="n">
        <f aca="false">D9+F7</f>
        <v>2</v>
      </c>
      <c r="E17" s="15" t="n">
        <f aca="false">E9+F8</f>
        <v>2</v>
      </c>
      <c r="F17" s="15" t="n">
        <f aca="false">F9+F9</f>
        <v>2</v>
      </c>
    </row>
    <row r="19" customFormat="false" ht="15" hidden="false" customHeight="false" outlineLevel="0" collapsed="false">
      <c r="A19" s="4" t="s">
        <v>83</v>
      </c>
    </row>
    <row r="20" customFormat="false" ht="15" hidden="false" customHeight="false" outlineLevel="0" collapsed="false">
      <c r="A20" s="16" t="s">
        <v>84</v>
      </c>
    </row>
    <row r="21" customFormat="false" ht="15" hidden="false" customHeight="false" outlineLevel="0" collapsed="false">
      <c r="A21" s="16" t="s">
        <v>85</v>
      </c>
    </row>
    <row r="23" customFormat="false" ht="15" hidden="false" customHeight="false" outlineLevel="0" collapsed="false">
      <c r="A23" s="17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26"/>
    <col collapsed="false" customWidth="true" hidden="false" outlineLevel="0" max="4" min="4" style="0" width="68"/>
  </cols>
  <sheetData>
    <row r="1" customFormat="false" ht="17.35" hidden="false" customHeight="false" outlineLevel="0" collapsed="false">
      <c r="A1" s="1" t="s">
        <v>87</v>
      </c>
    </row>
    <row r="2" customFormat="false" ht="15" hidden="false" customHeight="false" outlineLevel="0" collapsed="false">
      <c r="A2" s="2" t="s">
        <v>88</v>
      </c>
    </row>
    <row r="4" customFormat="false" ht="15" hidden="false" customHeight="false" outlineLevel="0" collapsed="false">
      <c r="A4" s="18" t="s">
        <v>89</v>
      </c>
      <c r="B4" s="6" t="s">
        <v>90</v>
      </c>
      <c r="C4" s="6" t="s">
        <v>91</v>
      </c>
      <c r="D4" s="18" t="s">
        <v>92</v>
      </c>
    </row>
    <row r="5" customFormat="false" ht="15" hidden="false" customHeight="false" outlineLevel="0" collapsed="false">
      <c r="A5" s="3" t="s">
        <v>93</v>
      </c>
      <c r="B5" s="19" t="n">
        <v>78</v>
      </c>
      <c r="C5" s="19" t="n">
        <v>62</v>
      </c>
      <c r="D5" s="10" t="s">
        <v>94</v>
      </c>
    </row>
    <row r="6" customFormat="false" ht="15" hidden="false" customHeight="false" outlineLevel="0" collapsed="false">
      <c r="A6" s="3" t="s">
        <v>95</v>
      </c>
      <c r="B6" s="19" t="n">
        <v>84</v>
      </c>
      <c r="C6" s="19" t="n">
        <v>55</v>
      </c>
      <c r="D6" s="10" t="s">
        <v>96</v>
      </c>
    </row>
    <row r="7" customFormat="false" ht="15" hidden="false" customHeight="false" outlineLevel="0" collapsed="false">
      <c r="A7" s="3" t="s">
        <v>97</v>
      </c>
      <c r="B7" s="19" t="n">
        <v>66</v>
      </c>
      <c r="C7" s="19" t="n">
        <v>71</v>
      </c>
      <c r="D7" s="10" t="s">
        <v>98</v>
      </c>
    </row>
    <row r="8" customFormat="false" ht="15" hidden="false" customHeight="false" outlineLevel="0" collapsed="false">
      <c r="A8" s="3" t="s">
        <v>99</v>
      </c>
      <c r="B8" s="19" t="n">
        <v>72</v>
      </c>
      <c r="C8" s="19" t="n">
        <v>60</v>
      </c>
      <c r="D8" s="10" t="s">
        <v>100</v>
      </c>
    </row>
    <row r="9" customFormat="false" ht="15" hidden="false" customHeight="false" outlineLevel="0" collapsed="false">
      <c r="A9" s="3" t="s">
        <v>40</v>
      </c>
      <c r="B9" s="19" t="s">
        <v>46</v>
      </c>
      <c r="C9" s="19" t="s">
        <v>52</v>
      </c>
      <c r="D9" s="10" t="s">
        <v>101</v>
      </c>
    </row>
    <row r="10" customFormat="false" ht="15" hidden="false" customHeight="false" outlineLevel="0" collapsed="false">
      <c r="A10" s="3" t="s">
        <v>102</v>
      </c>
      <c r="B10" s="19" t="s">
        <v>62</v>
      </c>
      <c r="C10" s="19" t="s">
        <v>65</v>
      </c>
      <c r="D10" s="10" t="s">
        <v>101</v>
      </c>
    </row>
    <row r="11" customFormat="false" ht="15" hidden="false" customHeight="false" outlineLevel="0" collapsed="false">
      <c r="A11" s="3" t="s">
        <v>103</v>
      </c>
      <c r="B11" s="20" t="n">
        <v>3</v>
      </c>
      <c r="C11" s="20" t="n">
        <v>-5</v>
      </c>
      <c r="D11" s="10" t="s">
        <v>104</v>
      </c>
    </row>
    <row r="13" customFormat="false" ht="15" hidden="false" customHeight="false" outlineLevel="0" collapsed="false">
      <c r="A13" s="4" t="s">
        <v>105</v>
      </c>
    </row>
    <row r="14" customFormat="false" ht="15" hidden="false" customHeight="false" outlineLevel="0" collapsed="false">
      <c r="A14" s="3" t="s">
        <v>106</v>
      </c>
      <c r="B14" s="21" t="n">
        <v>8</v>
      </c>
      <c r="D14" s="10" t="s">
        <v>107</v>
      </c>
    </row>
    <row r="15" customFormat="false" ht="15" hidden="false" customHeight="false" outlineLevel="0" collapsed="false">
      <c r="A15" s="3" t="s">
        <v>108</v>
      </c>
      <c r="B15" s="11" t="n">
        <f aca="false">B14*2</f>
        <v>16</v>
      </c>
      <c r="D15" s="10" t="s">
        <v>109</v>
      </c>
    </row>
    <row r="17" customFormat="false" ht="15" hidden="false" customHeight="false" outlineLevel="0" collapsed="false">
      <c r="A17" s="18" t="s">
        <v>110</v>
      </c>
      <c r="B17" s="6" t="s">
        <v>90</v>
      </c>
      <c r="C17" s="6" t="s">
        <v>91</v>
      </c>
      <c r="D17" s="18" t="s">
        <v>111</v>
      </c>
    </row>
    <row r="18" customFormat="false" ht="15" hidden="false" customHeight="false" outlineLevel="0" collapsed="false">
      <c r="A18" s="16" t="s">
        <v>112</v>
      </c>
      <c r="B18" s="22" t="n">
        <f aca="false">INDEX(Capa_A1_Pesos!$B$4:$E$8,MATCH(B$9,Capa_A1_Pesos!$A$4:$A$8,0),1)</f>
        <v>1.1</v>
      </c>
      <c r="C18" s="22" t="n">
        <f aca="false">INDEX(Capa_A1_Pesos!$B$4:$E$8,MATCH(C$9,Capa_A1_Pesos!$A$4:$A$8,0),1)</f>
        <v>0.85</v>
      </c>
      <c r="D18" s="10" t="s">
        <v>113</v>
      </c>
    </row>
    <row r="19" customFormat="false" ht="15" hidden="false" customHeight="false" outlineLevel="0" collapsed="false">
      <c r="A19" s="16" t="s">
        <v>114</v>
      </c>
      <c r="B19" s="22" t="n">
        <f aca="false">INDEX(Capa_A1_Pesos!$B$4:$E$8,MATCH(B$9,Capa_A1_Pesos!$A$4:$A$8,0),2)</f>
        <v>1.3</v>
      </c>
      <c r="C19" s="22" t="n">
        <f aca="false">INDEX(Capa_A1_Pesos!$B$4:$E$8,MATCH(C$9,Capa_A1_Pesos!$A$4:$A$8,0),2)</f>
        <v>1.05</v>
      </c>
      <c r="D19" s="10" t="s">
        <v>113</v>
      </c>
    </row>
    <row r="20" customFormat="false" ht="15" hidden="false" customHeight="false" outlineLevel="0" collapsed="false">
      <c r="A20" s="16" t="s">
        <v>115</v>
      </c>
      <c r="B20" s="22" t="n">
        <f aca="false">INDEX(Capa_A1_Pesos!$B$4:$E$8,MATCH(B$9,Capa_A1_Pesos!$A$4:$A$8,0),3)</f>
        <v>0.9</v>
      </c>
      <c r="C20" s="22" t="n">
        <f aca="false">INDEX(Capa_A1_Pesos!$B$4:$E$8,MATCH(C$9,Capa_A1_Pesos!$A$4:$A$8,0),3)</f>
        <v>1.25</v>
      </c>
      <c r="D20" s="10" t="s">
        <v>113</v>
      </c>
    </row>
    <row r="21" customFormat="false" ht="15" hidden="false" customHeight="false" outlineLevel="0" collapsed="false">
      <c r="A21" s="16" t="s">
        <v>116</v>
      </c>
      <c r="B21" s="22" t="n">
        <f aca="false">INDEX(Capa_A1_Pesos!$B$4:$E$8,MATCH(B$9,Capa_A1_Pesos!$A$4:$A$8,0),4)</f>
        <v>1.05</v>
      </c>
      <c r="C21" s="22" t="n">
        <f aca="false">INDEX(Capa_A1_Pesos!$B$4:$E$8,MATCH(C$9,Capa_A1_Pesos!$A$4:$A$8,0),4)</f>
        <v>0.9</v>
      </c>
      <c r="D21" s="10" t="s">
        <v>113</v>
      </c>
    </row>
    <row r="22" customFormat="false" ht="15" hidden="false" customHeight="false" outlineLevel="0" collapsed="false">
      <c r="A22" s="3" t="s">
        <v>117</v>
      </c>
      <c r="B22" s="23" t="n">
        <f aca="false">SUMPRODUCT(B5:B8,B18:B21)/SUM(B18:B21)</f>
        <v>75.8620689655172</v>
      </c>
      <c r="C22" s="23" t="n">
        <f aca="false">SUMPRODUCT(C5:C8,C18:C21)/SUM(C18:C21)</f>
        <v>62.5185185185185</v>
      </c>
      <c r="D22" s="10" t="s">
        <v>118</v>
      </c>
    </row>
    <row r="23" customFormat="false" ht="15" hidden="false" customHeight="false" outlineLevel="0" collapsed="false">
      <c r="A23" s="16" t="s">
        <v>119</v>
      </c>
      <c r="B23" s="22" t="n">
        <f aca="false">INDEX(Capa_A2_Fit!$B$6:$F$9,MATCH(B$10,Capa_A2_Fit!$A$6:$A$9,0),MATCH(B$9,Capa_A2_Fit!$B$5:$F$5,0))</f>
        <v>1.12</v>
      </c>
      <c r="C23" s="22" t="n">
        <f aca="false">INDEX(Capa_A2_Fit!$B$6:$F$9,MATCH(C$10,Capa_A2_Fit!$A$6:$A$9,0),MATCH(C$9,Capa_A2_Fit!$B$5:$F$5,0))</f>
        <v>1.12</v>
      </c>
      <c r="D23" s="10" t="s">
        <v>120</v>
      </c>
    </row>
    <row r="24" customFormat="false" ht="15" hidden="false" customHeight="false" outlineLevel="0" collapsed="false">
      <c r="A24" s="16" t="s">
        <v>121</v>
      </c>
      <c r="B24" s="22" t="n">
        <f aca="false">INDEX(Capa_B_Matchup!$B$5:$F$9,MATCH(B$9,Capa_B_Matchup!$A$5:$A$9,0),MATCH(C$9,Capa_B_Matchup!$B$4:$F$4,0))</f>
        <v>1.04</v>
      </c>
      <c r="C24" s="22" t="n">
        <f aca="false">INDEX(Capa_B_Matchup!$B$5:$F$9,MATCH(C$9,Capa_B_Matchup!$A$5:$A$9,0),MATCH(B$9,Capa_B_Matchup!$B$4:$F$4,0))</f>
        <v>0.96</v>
      </c>
      <c r="D24" s="10" t="s">
        <v>122</v>
      </c>
    </row>
    <row r="25" customFormat="false" ht="15" hidden="false" customHeight="false" outlineLevel="0" collapsed="false">
      <c r="A25" s="3" t="s">
        <v>123</v>
      </c>
      <c r="B25" s="23" t="n">
        <f aca="false">B22*B23*B24</f>
        <v>88.3641379310345</v>
      </c>
      <c r="C25" s="23" t="n">
        <f aca="false">C22*C23*C24</f>
        <v>67.2199111111111</v>
      </c>
      <c r="D25" s="10" t="s">
        <v>124</v>
      </c>
    </row>
    <row r="26" customFormat="false" ht="15" hidden="false" customHeight="false" outlineLevel="0" collapsed="false">
      <c r="A26" s="16" t="s">
        <v>125</v>
      </c>
      <c r="B26" s="24" t="n">
        <f aca="false">B11</f>
        <v>3</v>
      </c>
      <c r="C26" s="24" t="n">
        <f aca="false">C11</f>
        <v>-5</v>
      </c>
      <c r="D26" s="10" t="s">
        <v>126</v>
      </c>
    </row>
    <row r="27" customFormat="false" ht="15" hidden="false" customHeight="false" outlineLevel="0" collapsed="false">
      <c r="A27" s="4" t="s">
        <v>127</v>
      </c>
      <c r="B27" s="25" t="n">
        <f aca="false">B25+B26</f>
        <v>91.3641379310345</v>
      </c>
      <c r="C27" s="25" t="n">
        <f aca="false">C25+C26</f>
        <v>62.2199111111111</v>
      </c>
    </row>
    <row r="29" customFormat="false" ht="15" hidden="false" customHeight="false" outlineLevel="0" collapsed="false">
      <c r="A29" s="4" t="s">
        <v>128</v>
      </c>
    </row>
    <row r="30" customFormat="false" ht="15" hidden="false" customHeight="false" outlineLevel="0" collapsed="false">
      <c r="A30" s="3" t="s">
        <v>129</v>
      </c>
      <c r="B30" s="26" t="str">
        <f aca="false">IF(B27&gt;C27,"DT A",IF(C27&gt;B27,"DT B","Empate"))</f>
        <v>DT A</v>
      </c>
    </row>
    <row r="31" customFormat="false" ht="15" hidden="false" customHeight="false" outlineLevel="0" collapsed="false">
      <c r="A31" s="16" t="s">
        <v>130</v>
      </c>
      <c r="B31" s="24" t="n">
        <f aca="false">ABS(B27-C27)</f>
        <v>29.1442268199234</v>
      </c>
    </row>
    <row r="32" customFormat="false" ht="15" hidden="false" customHeight="false" outlineLevel="0" collapsed="false">
      <c r="A32" s="16" t="s">
        <v>131</v>
      </c>
      <c r="B32" s="24" t="n">
        <f aca="false">ABS(B25-C25)</f>
        <v>21.1442268199234</v>
      </c>
    </row>
    <row r="33" customFormat="false" ht="15" hidden="false" customHeight="false" outlineLevel="0" collapsed="false">
      <c r="A33" s="3" t="s">
        <v>132</v>
      </c>
      <c r="B33" s="7" t="str">
        <f aca="false">IF(ABS(B25-C25)&lt;=B15,"SI - empate tecnico, el azar decide","NO - la brecha tactica es mayor que el swing del azar")</f>
        <v>NO - la brecha tactica es mayor que el swing del azar</v>
      </c>
    </row>
    <row r="34" customFormat="false" ht="15" hidden="false" customHeight="false" outlineLevel="0" collapsed="false">
      <c r="A34" s="16" t="s">
        <v>133</v>
      </c>
      <c r="B34" s="27" t="str">
        <f aca="false">IF(SIGN(B25-C25)=SIGN(B27-C27),"SI","NO - lo dio vuelta el azar")</f>
        <v>SI</v>
      </c>
    </row>
  </sheetData>
  <dataValidations count="2">
    <dataValidation allowBlank="false" errorStyle="stop" operator="between" showDropDown="false" showErrorMessage="false" showInputMessage="false" sqref="B9:C9" type="list">
      <formula1>"4-3-3,4-2-3-1,4-4-2,3-5-2 / 5-3-2,3-4-3"</formula1>
      <formula2>0</formula2>
    </dataValidation>
    <dataValidation allowBlank="false" errorStyle="stop" operator="between" showDropDown="false" showErrorMessage="false" showInputMessage="false" sqref="B10:C10" type="list">
      <formula1>"Posesion,Contraataque / Directo,Presion alta,Bloque bajo / Repliegue"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3" min="2" style="0" width="13"/>
    <col collapsed="false" customWidth="true" hidden="false" outlineLevel="0" max="16" min="14" style="0" width="12"/>
    <col collapsed="false" customWidth="true" hidden="false" outlineLevel="0" max="17" min="17" style="0" width="28"/>
  </cols>
  <sheetData>
    <row r="1" customFormat="false" ht="17.35" hidden="false" customHeight="false" outlineLevel="0" collapsed="false">
      <c r="A1" s="1" t="s">
        <v>134</v>
      </c>
    </row>
    <row r="2" customFormat="false" ht="15" hidden="false" customHeight="false" outlineLevel="0" collapsed="false">
      <c r="A2" s="2" t="s">
        <v>135</v>
      </c>
    </row>
    <row r="4" customFormat="false" ht="15" hidden="false" customHeight="false" outlineLevel="0" collapsed="false">
      <c r="A4" s="6" t="s">
        <v>136</v>
      </c>
      <c r="B4" s="6" t="s">
        <v>137</v>
      </c>
      <c r="C4" s="6" t="s">
        <v>138</v>
      </c>
      <c r="D4" s="6" t="s">
        <v>139</v>
      </c>
      <c r="E4" s="6" t="s">
        <v>140</v>
      </c>
      <c r="F4" s="6" t="s">
        <v>141</v>
      </c>
      <c r="G4" s="6" t="s">
        <v>142</v>
      </c>
      <c r="H4" s="6" t="s">
        <v>143</v>
      </c>
      <c r="I4" s="6" t="s">
        <v>144</v>
      </c>
      <c r="J4" s="6" t="s">
        <v>145</v>
      </c>
      <c r="K4" s="6" t="s">
        <v>146</v>
      </c>
      <c r="L4" s="6" t="s">
        <v>147</v>
      </c>
      <c r="M4" s="6" t="s">
        <v>148</v>
      </c>
      <c r="N4" s="6" t="s">
        <v>149</v>
      </c>
      <c r="O4" s="6" t="s">
        <v>150</v>
      </c>
      <c r="P4" s="6" t="s">
        <v>151</v>
      </c>
      <c r="Q4" s="6" t="s">
        <v>152</v>
      </c>
    </row>
    <row r="5" customFormat="false" ht="15" hidden="false" customHeight="false" outlineLevel="0" collapsed="false">
      <c r="A5" s="3" t="s">
        <v>153</v>
      </c>
      <c r="B5" s="19" t="n">
        <v>85</v>
      </c>
      <c r="C5" s="19" t="n">
        <v>88</v>
      </c>
      <c r="D5" s="19" t="n">
        <v>80</v>
      </c>
      <c r="E5" s="19" t="n">
        <v>82</v>
      </c>
      <c r="F5" s="19" t="s">
        <v>46</v>
      </c>
      <c r="G5" s="19" t="s">
        <v>62</v>
      </c>
      <c r="H5" s="19" t="n">
        <v>60</v>
      </c>
      <c r="I5" s="19" t="n">
        <v>55</v>
      </c>
      <c r="J5" s="19" t="n">
        <v>62</v>
      </c>
      <c r="K5" s="19" t="n">
        <v>58</v>
      </c>
      <c r="L5" s="19" t="s">
        <v>50</v>
      </c>
      <c r="M5" s="19" t="s">
        <v>62</v>
      </c>
      <c r="N5" s="23" t="n">
        <f aca="false">SUMPRODUCT(B5:E5,INDEX(Capa_A1_Pesos!$B$4:$E$8,MATCH(F5,Capa_A1_Pesos!$A$4:$A$8,0),0))/SUM(INDEX(Capa_A1_Pesos!$B$4:$E$8,MATCH(F5,Capa_A1_Pesos!$A$4:$A$8,0),0))*INDEX(Capa_A2_Fit!$B$6:$F$9,MATCH(G5,Capa_A2_Fit!$A$6:$A$9,0),MATCH(F5,Capa_A2_Fit!$B$5:$F$5,0))*INDEX(Capa_B_Matchup!$B$5:$F$9,MATCH(F5,Capa_B_Matchup!$A$5:$A$9,0),MATCH(L5,Capa_B_Matchup!$B$4:$F$4,0))</f>
        <v>99.8885517241379</v>
      </c>
      <c r="O5" s="23" t="n">
        <f aca="false">SUMPRODUCT(H5:K5,INDEX(Capa_A1_Pesos!$B$4:$E$8,MATCH(L5,Capa_A1_Pesos!$A$4:$A$8,0),0))/SUM(INDEX(Capa_A1_Pesos!$B$4:$E$8,MATCH(L5,Capa_A1_Pesos!$A$4:$A$8,0),0))*INDEX(Capa_A2_Fit!$B$6:$F$9,MATCH(M5,Capa_A2_Fit!$A$6:$A$9,0),MATCH(L5,Capa_A2_Fit!$B$5:$F$5,0))*INDEX(Capa_B_Matchup!$B$5:$F$9,MATCH(L5,Capa_B_Matchup!$A$5:$A$9,0),MATCH(F5,Capa_B_Matchup!$B$4:$F$4,0))</f>
        <v>47.6956</v>
      </c>
      <c r="P5" s="24" t="n">
        <f aca="false">ABS(N5-O5)</f>
        <v>52.1929517241379</v>
      </c>
      <c r="Q5" s="27" t="str">
        <f aca="false">IF(ABS(N5-O5)&lt;=Calculadora!$B$15,"SI - empate tecnico","NO - decide la tactica")</f>
        <v>NO - decide la tactica</v>
      </c>
    </row>
    <row r="6" customFormat="false" ht="15" hidden="false" customHeight="false" outlineLevel="0" collapsed="false">
      <c r="A6" s="3" t="s">
        <v>154</v>
      </c>
      <c r="B6" s="19" t="n">
        <v>55</v>
      </c>
      <c r="C6" s="19" t="n">
        <v>52</v>
      </c>
      <c r="D6" s="19" t="n">
        <v>88</v>
      </c>
      <c r="E6" s="19" t="n">
        <v>60</v>
      </c>
      <c r="F6" s="19" t="s">
        <v>52</v>
      </c>
      <c r="G6" s="19" t="s">
        <v>65</v>
      </c>
      <c r="H6" s="19" t="n">
        <v>55</v>
      </c>
      <c r="I6" s="19" t="n">
        <v>52</v>
      </c>
      <c r="J6" s="19" t="n">
        <v>88</v>
      </c>
      <c r="K6" s="19" t="n">
        <v>60</v>
      </c>
      <c r="L6" s="19" t="s">
        <v>54</v>
      </c>
      <c r="M6" s="19" t="s">
        <v>62</v>
      </c>
      <c r="N6" s="23" t="n">
        <f aca="false">SUMPRODUCT(B6:E6,INDEX(Capa_A1_Pesos!$B$4:$E$8,MATCH(F6,Capa_A1_Pesos!$A$4:$A$8,0),0))/SUM(INDEX(Capa_A1_Pesos!$B$4:$E$8,MATCH(F6,Capa_A1_Pesos!$A$4:$A$8,0),0))*INDEX(Capa_A2_Fit!$B$6:$F$9,MATCH(G6,Capa_A2_Fit!$A$6:$A$9,0),MATCH(F6,Capa_A2_Fit!$B$5:$F$5,0))*INDEX(Capa_B_Matchup!$B$5:$F$9,MATCH(F6,Capa_B_Matchup!$A$5:$A$9,0),MATCH(L6,Capa_B_Matchup!$B$4:$F$4,0))</f>
        <v>77.7835851851852</v>
      </c>
      <c r="O6" s="23" t="n">
        <f aca="false">SUMPRODUCT(H6:K6,INDEX(Capa_A1_Pesos!$B$4:$E$8,MATCH(L6,Capa_A1_Pesos!$A$4:$A$8,0),0))/SUM(INDEX(Capa_A1_Pesos!$B$4:$E$8,MATCH(L6,Capa_A1_Pesos!$A$4:$A$8,0),0))*INDEX(Capa_A2_Fit!$B$6:$F$9,MATCH(M6,Capa_A2_Fit!$A$6:$A$9,0),MATCH(L6,Capa_A2_Fit!$B$5:$F$5,0))*INDEX(Capa_B_Matchup!$B$5:$F$9,MATCH(L6,Capa_B_Matchup!$A$5:$A$9,0),MATCH(F6,Capa_B_Matchup!$B$4:$F$4,0))</f>
        <v>57.6460465116279</v>
      </c>
      <c r="P6" s="24" t="n">
        <f aca="false">ABS(N6-O6)</f>
        <v>20.1375386735573</v>
      </c>
      <c r="Q6" s="27" t="str">
        <f aca="false">IF(ABS(N6-O6)&lt;=Calculadora!$B$15,"SI - empate tecnico","NO - decide la tactica")</f>
        <v>NO - decide la tactica</v>
      </c>
    </row>
    <row r="7" customFormat="false" ht="15" hidden="false" customHeight="false" outlineLevel="0" collapsed="false">
      <c r="A7" s="3" t="s">
        <v>155</v>
      </c>
      <c r="B7" s="19" t="n">
        <v>74</v>
      </c>
      <c r="C7" s="19" t="n">
        <v>70</v>
      </c>
      <c r="D7" s="19" t="n">
        <v>72</v>
      </c>
      <c r="E7" s="19" t="n">
        <v>71</v>
      </c>
      <c r="F7" s="19" t="s">
        <v>48</v>
      </c>
      <c r="G7" s="19" t="s">
        <v>64</v>
      </c>
      <c r="H7" s="19" t="n">
        <v>72</v>
      </c>
      <c r="I7" s="19" t="n">
        <v>73</v>
      </c>
      <c r="J7" s="19" t="n">
        <v>70</v>
      </c>
      <c r="K7" s="19" t="n">
        <v>74</v>
      </c>
      <c r="L7" s="19" t="s">
        <v>46</v>
      </c>
      <c r="M7" s="19" t="s">
        <v>64</v>
      </c>
      <c r="N7" s="23" t="n">
        <f aca="false">SUMPRODUCT(B7:E7,INDEX(Capa_A1_Pesos!$B$4:$E$8,MATCH(F7,Capa_A1_Pesos!$A$4:$A$8,0),0))/SUM(INDEX(Capa_A1_Pesos!$B$4:$E$8,MATCH(F7,Capa_A1_Pesos!$A$4:$A$8,0),0))*INDEX(Capa_A2_Fit!$B$6:$F$9,MATCH(G7,Capa_A2_Fit!$A$6:$A$9,0),MATCH(F7,Capa_A2_Fit!$B$5:$F$5,0))*INDEX(Capa_B_Matchup!$B$5:$F$9,MATCH(F7,Capa_B_Matchup!$A$5:$A$9,0),MATCH(L7,Capa_B_Matchup!$B$4:$F$4,0))</f>
        <v>80.3013953488372</v>
      </c>
      <c r="O7" s="23" t="n">
        <f aca="false">SUMPRODUCT(H7:K7,INDEX(Capa_A1_Pesos!$B$4:$E$8,MATCH(L7,Capa_A1_Pesos!$A$4:$A$8,0),0))/SUM(INDEX(Capa_A1_Pesos!$B$4:$E$8,MATCH(L7,Capa_A1_Pesos!$A$4:$A$8,0),0))*INDEX(Capa_A2_Fit!$B$6:$F$9,MATCH(M7,Capa_A2_Fit!$A$6:$A$9,0),MATCH(L7,Capa_A2_Fit!$B$5:$F$5,0))*INDEX(Capa_B_Matchup!$B$5:$F$9,MATCH(L7,Capa_B_Matchup!$A$5:$A$9,0),MATCH(F7,Capa_B_Matchup!$B$4:$F$4,0))</f>
        <v>81.0519540229885</v>
      </c>
      <c r="P7" s="24" t="n">
        <f aca="false">ABS(N7-O7)</f>
        <v>0.750558674151264</v>
      </c>
      <c r="Q7" s="27" t="str">
        <f aca="false">IF(ABS(N7-O7)&lt;=Calculadora!$B$15,"SI - empate tecnico","NO - decide la tactica")</f>
        <v>SI - empate tecnico</v>
      </c>
    </row>
    <row r="8" customFormat="false" ht="15" hidden="false" customHeight="false" outlineLevel="0" collapsed="false">
      <c r="A8" s="3" t="s">
        <v>156</v>
      </c>
      <c r="B8" s="19" t="n">
        <v>62</v>
      </c>
      <c r="C8" s="19" t="n">
        <v>58</v>
      </c>
      <c r="D8" s="19" t="n">
        <v>78</v>
      </c>
      <c r="E8" s="19" t="n">
        <v>64</v>
      </c>
      <c r="F8" s="19" t="s">
        <v>52</v>
      </c>
      <c r="G8" s="19" t="s">
        <v>65</v>
      </c>
      <c r="H8" s="19" t="n">
        <v>70</v>
      </c>
      <c r="I8" s="19" t="n">
        <v>66</v>
      </c>
      <c r="J8" s="19" t="n">
        <v>68</v>
      </c>
      <c r="K8" s="19" t="n">
        <v>70</v>
      </c>
      <c r="L8" s="19" t="s">
        <v>54</v>
      </c>
      <c r="M8" s="19" t="s">
        <v>65</v>
      </c>
      <c r="N8" s="23" t="n">
        <f aca="false">SUMPRODUCT(B8:E8,INDEX(Capa_A1_Pesos!$B$4:$E$8,MATCH(F8,Capa_A1_Pesos!$A$4:$A$8,0),0))/SUM(INDEX(Capa_A1_Pesos!$B$4:$E$8,MATCH(F8,Capa_A1_Pesos!$A$4:$A$8,0),0))*INDEX(Capa_A2_Fit!$B$6:$F$9,MATCH(G8,Capa_A2_Fit!$A$6:$A$9,0),MATCH(F8,Capa_A2_Fit!$B$5:$F$5,0))*INDEX(Capa_B_Matchup!$B$5:$F$9,MATCH(F8,Capa_B_Matchup!$A$5:$A$9,0),MATCH(L8,Capa_B_Matchup!$B$4:$F$4,0))</f>
        <v>78.7655901234568</v>
      </c>
      <c r="O8" s="23" t="n">
        <f aca="false">SUMPRODUCT(H8:K8,INDEX(Capa_A1_Pesos!$B$4:$E$8,MATCH(L8,Capa_A1_Pesos!$A$4:$A$8,0),0))/SUM(INDEX(Capa_A1_Pesos!$B$4:$E$8,MATCH(L8,Capa_A1_Pesos!$A$4:$A$8,0),0))*INDEX(Capa_A2_Fit!$B$6:$F$9,MATCH(M8,Capa_A2_Fit!$A$6:$A$9,0),MATCH(L8,Capa_A2_Fit!$B$5:$F$5,0))*INDEX(Capa_B_Matchup!$B$5:$F$9,MATCH(L8,Capa_B_Matchup!$A$5:$A$9,0),MATCH(F8,Capa_B_Matchup!$B$4:$F$4,0))</f>
        <v>55.4788</v>
      </c>
      <c r="P8" s="24" t="n">
        <f aca="false">ABS(N8-O8)</f>
        <v>23.2867901234568</v>
      </c>
      <c r="Q8" s="27" t="str">
        <f aca="false">IF(ABS(N8-O8)&lt;=Calculadora!$B$15,"SI - empate tecnico","NO - decide la tactica")</f>
        <v>NO - decide la tactica</v>
      </c>
    </row>
    <row r="9" customFormat="false" ht="15" hidden="false" customHeight="false" outlineLevel="0" collapsed="false">
      <c r="A9" s="3" t="s">
        <v>157</v>
      </c>
      <c r="B9" s="19" t="n">
        <v>88</v>
      </c>
      <c r="C9" s="19" t="n">
        <v>90</v>
      </c>
      <c r="D9" s="19" t="n">
        <v>84</v>
      </c>
      <c r="E9" s="19" t="n">
        <v>86</v>
      </c>
      <c r="F9" s="19" t="s">
        <v>52</v>
      </c>
      <c r="G9" s="19" t="s">
        <v>64</v>
      </c>
      <c r="H9" s="19" t="n">
        <v>70</v>
      </c>
      <c r="I9" s="19" t="n">
        <v>68</v>
      </c>
      <c r="J9" s="19" t="n">
        <v>72</v>
      </c>
      <c r="K9" s="19" t="n">
        <v>70</v>
      </c>
      <c r="L9" s="19" t="s">
        <v>46</v>
      </c>
      <c r="M9" s="19" t="s">
        <v>62</v>
      </c>
      <c r="N9" s="23" t="n">
        <f aca="false">SUMPRODUCT(B9:E9,INDEX(Capa_A1_Pesos!$B$4:$E$8,MATCH(F9,Capa_A1_Pesos!$A$4:$A$8,0),0))/SUM(INDEX(Capa_A1_Pesos!$B$4:$E$8,MATCH(F9,Capa_A1_Pesos!$A$4:$A$8,0),0))*INDEX(Capa_A2_Fit!$B$6:$F$9,MATCH(G9,Capa_A2_Fit!$A$6:$A$9,0),MATCH(F9,Capa_A2_Fit!$B$5:$F$5,0))*INDEX(Capa_B_Matchup!$B$5:$F$9,MATCH(F9,Capa_B_Matchup!$A$5:$A$9,0),MATCH(L9,Capa_B_Matchup!$B$4:$F$4,0))</f>
        <v>71.6946962962963</v>
      </c>
      <c r="O9" s="23" t="n">
        <f aca="false">SUMPRODUCT(H9:K9,INDEX(Capa_A1_Pesos!$B$4:$E$8,MATCH(L9,Capa_A1_Pesos!$A$4:$A$8,0),0))/SUM(INDEX(Capa_A1_Pesos!$B$4:$E$8,MATCH(L9,Capa_A1_Pesos!$A$4:$A$8,0),0))*INDEX(Capa_A2_Fit!$B$6:$F$9,MATCH(M9,Capa_A2_Fit!$A$6:$A$9,0),MATCH(L9,Capa_A2_Fit!$B$5:$F$5,0))*INDEX(Capa_B_Matchup!$B$5:$F$9,MATCH(L9,Capa_B_Matchup!$A$5:$A$9,0),MATCH(F9,Capa_B_Matchup!$B$4:$F$4,0))</f>
        <v>81.321783908046</v>
      </c>
      <c r="P9" s="24" t="n">
        <f aca="false">ABS(N9-O9)</f>
        <v>9.62708761174969</v>
      </c>
      <c r="Q9" s="27" t="str">
        <f aca="false">IF(ABS(N9-O9)&lt;=Calculadora!$B$15,"SI - empate tecnico","NO - decide la tactica")</f>
        <v>SI - empate tecnico</v>
      </c>
    </row>
    <row r="11" customFormat="false" ht="15" hidden="false" customHeight="false" outlineLevel="0" collapsed="false">
      <c r="A11" s="3" t="s">
        <v>158</v>
      </c>
    </row>
    <row r="12" customFormat="false" ht="42" hidden="false" customHeight="true" outlineLevel="0" collapsed="false">
      <c r="A12" s="28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4"/>
    <col collapsed="false" customWidth="true" hidden="false" outlineLevel="0" max="3" min="3" style="0" width="72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1" t="s">
        <v>160</v>
      </c>
    </row>
    <row r="3" customFormat="false" ht="15" hidden="false" customHeight="false" outlineLevel="0" collapsed="false">
      <c r="A3" s="6" t="s">
        <v>161</v>
      </c>
      <c r="B3" s="6" t="s">
        <v>162</v>
      </c>
      <c r="C3" s="6" t="s">
        <v>163</v>
      </c>
      <c r="D3" s="6" t="s">
        <v>164</v>
      </c>
    </row>
    <row r="4" customFormat="false" ht="45.75" hidden="false" customHeight="true" outlineLevel="0" collapsed="false">
      <c r="A4" s="29" t="s">
        <v>165</v>
      </c>
      <c r="B4" s="9" t="s">
        <v>166</v>
      </c>
      <c r="C4" s="9" t="s">
        <v>167</v>
      </c>
      <c r="D4" s="9" t="s">
        <v>168</v>
      </c>
    </row>
    <row r="5" customFormat="false" ht="45.75" hidden="false" customHeight="true" outlineLevel="0" collapsed="false">
      <c r="A5" s="29" t="s">
        <v>169</v>
      </c>
      <c r="B5" s="9" t="s">
        <v>170</v>
      </c>
      <c r="C5" s="9" t="s">
        <v>171</v>
      </c>
      <c r="D5" s="9" t="s">
        <v>172</v>
      </c>
    </row>
    <row r="6" customFormat="false" ht="45.75" hidden="false" customHeight="true" outlineLevel="0" collapsed="false">
      <c r="A6" s="29" t="s">
        <v>173</v>
      </c>
      <c r="B6" s="9" t="s">
        <v>174</v>
      </c>
      <c r="C6" s="9" t="s">
        <v>175</v>
      </c>
      <c r="D6" s="9" t="s">
        <v>176</v>
      </c>
    </row>
    <row r="7" customFormat="false" ht="45.75" hidden="false" customHeight="true" outlineLevel="0" collapsed="false">
      <c r="A7" s="29" t="s">
        <v>177</v>
      </c>
      <c r="B7" s="9" t="s">
        <v>178</v>
      </c>
      <c r="C7" s="9" t="s">
        <v>179</v>
      </c>
      <c r="D7" s="9" t="s">
        <v>180</v>
      </c>
    </row>
    <row r="8" customFormat="false" ht="45.75" hidden="false" customHeight="true" outlineLevel="0" collapsed="false">
      <c r="A8" s="29" t="s">
        <v>181</v>
      </c>
      <c r="B8" s="9" t="s">
        <v>182</v>
      </c>
      <c r="C8" s="9" t="s">
        <v>183</v>
      </c>
      <c r="D8" s="9" t="s">
        <v>184</v>
      </c>
    </row>
    <row r="9" customFormat="false" ht="45.75" hidden="false" customHeight="true" outlineLevel="0" collapsed="false">
      <c r="A9" s="29" t="s">
        <v>185</v>
      </c>
      <c r="B9" s="9" t="s">
        <v>186</v>
      </c>
      <c r="C9" s="9" t="s">
        <v>187</v>
      </c>
      <c r="D9" s="9" t="s">
        <v>184</v>
      </c>
    </row>
    <row r="10" customFormat="false" ht="45.75" hidden="false" customHeight="true" outlineLevel="0" collapsed="false">
      <c r="A10" s="29" t="s">
        <v>188</v>
      </c>
      <c r="B10" s="9" t="s">
        <v>189</v>
      </c>
      <c r="C10" s="9" t="s">
        <v>190</v>
      </c>
      <c r="D10" s="9" t="s">
        <v>191</v>
      </c>
    </row>
    <row r="11" customFormat="false" ht="45.75" hidden="false" customHeight="true" outlineLevel="0" collapsed="false">
      <c r="A11" s="29" t="s">
        <v>192</v>
      </c>
      <c r="B11" s="9" t="s">
        <v>193</v>
      </c>
      <c r="C11" s="9" t="s">
        <v>194</v>
      </c>
      <c r="D11" s="9" t="s">
        <v>195</v>
      </c>
    </row>
    <row r="12" customFormat="false" ht="45.75" hidden="false" customHeight="true" outlineLevel="0" collapsed="false">
      <c r="A12" s="29" t="s">
        <v>196</v>
      </c>
      <c r="B12" s="9" t="s">
        <v>193</v>
      </c>
      <c r="C12" s="9" t="s">
        <v>197</v>
      </c>
      <c r="D12" s="9" t="s">
        <v>172</v>
      </c>
    </row>
    <row r="13" customFormat="false" ht="45.75" hidden="false" customHeight="true" outlineLevel="0" collapsed="false">
      <c r="A13" s="29" t="s">
        <v>198</v>
      </c>
      <c r="B13" s="9" t="s">
        <v>189</v>
      </c>
      <c r="C13" s="9" t="s">
        <v>199</v>
      </c>
      <c r="D13" s="9" t="s">
        <v>191</v>
      </c>
    </row>
    <row r="14" customFormat="false" ht="45.75" hidden="false" customHeight="true" outlineLevel="0" collapsed="false">
      <c r="A14" s="29" t="s">
        <v>200</v>
      </c>
      <c r="B14" s="9" t="s">
        <v>193</v>
      </c>
      <c r="C14" s="9" t="s">
        <v>201</v>
      </c>
      <c r="D14" s="9" t="s">
        <v>202</v>
      </c>
    </row>
    <row r="15" customFormat="false" ht="45.75" hidden="false" customHeight="true" outlineLevel="0" collapsed="false">
      <c r="A15" s="29" t="s">
        <v>203</v>
      </c>
      <c r="B15" s="9" t="s">
        <v>204</v>
      </c>
      <c r="C15" s="9" t="s">
        <v>205</v>
      </c>
      <c r="D15" s="9" t="s"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2026-08-26T16:39:47Z</dcterms:created>
  <dc:creator>openpyxl</dc:creator>
  <dc:description/>
  <dc:language>en-US</dc:language>
  <cp:lastModifiedBy/>
  <dcterms:modified xsi:type="dcterms:W3CDTF">2026-08-26T16:39:47Z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